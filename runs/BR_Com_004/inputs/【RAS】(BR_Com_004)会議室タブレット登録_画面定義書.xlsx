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serio.sharepoint.com/sites/msteams_677b82-2025/Shared Documents/2025年度 本部施策/標準化/50_検証/01_会議室予約システム構築/20_基本設計/10_成果物/05_画面定義書/"/>
    </mc:Choice>
  </mc:AlternateContent>
  <xr:revisionPtr revIDLastSave="168" documentId="13_ncr:1_{075175C8-6444-4612-A791-CA4CCE8CAA9A}" xr6:coauthVersionLast="47" xr6:coauthVersionMax="47" xr10:uidLastSave="{44276F38-DA6F-4EB9-B49B-BE90B1E726D7}"/>
  <bookViews>
    <workbookView xWindow="22932" yWindow="-108" windowWidth="30936" windowHeight="16776" tabRatio="803" xr2:uid="{0259171F-2E4B-49D4-B589-862650444F79}"/>
  </bookViews>
  <sheets>
    <sheet name="表紙" sheetId="5" r:id="rId1"/>
    <sheet name="改訂履歴" sheetId="3" r:id="rId2"/>
    <sheet name="機能概要" sheetId="1" r:id="rId3"/>
    <sheet name="機能間引数定義" sheetId="9" r:id="rId4"/>
    <sheet name="レイアウト" sheetId="7" r:id="rId5"/>
    <sheet name="項目定義" sheetId="8" r:id="rId6"/>
    <sheet name="イベント定義" sheetId="11" r:id="rId7"/>
    <sheet name="画面遷移定義" sheetId="20" r:id="rId8"/>
    <sheet name="画面表示定義" sheetId="21" r:id="rId9"/>
    <sheet name="データアクセス定義" sheetId="19" r:id="rId10"/>
    <sheet name="エラーチェック一覧" sheetId="13" r:id="rId11"/>
    <sheet name="(非表示)画面レイアウト" sheetId="18" r:id="rId12"/>
    <sheet name="(非表示)レイアウト部品" sheetId="15" r:id="rId13"/>
    <sheet name="(非表示)リスト" sheetId="16" r:id="rId14"/>
  </sheets>
  <definedNames>
    <definedName name="_xlnm.Print_Area" localSheetId="12">'(非表示)レイアウト部品'!#REF!</definedName>
    <definedName name="_xlnm.Print_Area" localSheetId="11">'(非表示)画面レイアウト'!$A$1:$BG$16</definedName>
    <definedName name="_xlnm.Print_Area" localSheetId="6">イベント定義!$A$1:$H$23</definedName>
    <definedName name="_xlnm.Print_Area" localSheetId="10">エラーチェック一覧!$A$1:$I$10</definedName>
    <definedName name="_xlnm.Print_Area" localSheetId="9">データアクセス定義!$A$1:$AC$80</definedName>
    <definedName name="_xlnm.Print_Area" localSheetId="4">レイアウト!$A$1:$BO$66</definedName>
    <definedName name="_xlnm.Print_Area" localSheetId="7">画面遷移定義!$A$1:$T$13</definedName>
    <definedName name="_xlnm.Print_Area" localSheetId="8">画面表示定義!$A$1:$T$16</definedName>
    <definedName name="_xlnm.Print_Area" localSheetId="1">改訂履歴!$A$1:$BO$26</definedName>
    <definedName name="_xlnm.Print_Area" localSheetId="2">機能概要!$A$1:$BO$31</definedName>
    <definedName name="_xlnm.Print_Area" localSheetId="3">機能間引数定義!$A$1:$U$18</definedName>
    <definedName name="_xlnm.Print_Area" localSheetId="5">項目定義!$A$1:$P$12</definedName>
    <definedName name="_xlnm.Print_Area" localSheetId="0">表紙!$A$1:$I$17</definedName>
    <definedName name="_xlnm.Print_Titles" localSheetId="6">イベント定義!$1:$4</definedName>
    <definedName name="_xlnm.Print_Titles" localSheetId="10">エラーチェック一覧!$1:$4</definedName>
    <definedName name="_xlnm.Print_Titles" localSheetId="9">データアクセス定義!$1:$4</definedName>
    <definedName name="_xlnm.Print_Titles" localSheetId="4">レイアウト!$1:$4</definedName>
    <definedName name="_xlnm.Print_Titles" localSheetId="7">画面遷移定義!$1:$4</definedName>
    <definedName name="_xlnm.Print_Titles" localSheetId="8">画面表示定義!$1:$4</definedName>
    <definedName name="_xlnm.Print_Titles" localSheetId="1">改訂履歴!$1:$4</definedName>
    <definedName name="_xlnm.Print_Titles" localSheetId="2">機能概要!$1:$4</definedName>
    <definedName name="_xlnm.Print_Titles" localSheetId="3">機能間引数定義!$1:$4</definedName>
    <definedName name="_xlnm.Print_Titles" localSheetId="5">項目定義!$1:$4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3" l="1"/>
  <c r="B8" i="8"/>
  <c r="B9" i="8"/>
  <c r="B10" i="8"/>
  <c r="B11" i="8"/>
  <c r="B7" i="8" l="1"/>
  <c r="B9" i="13" l="1"/>
  <c r="B8" i="13"/>
  <c r="AZ2" i="3" l="1"/>
  <c r="BJ2" i="3"/>
  <c r="BJ1" i="3"/>
  <c r="AZ1" i="3"/>
  <c r="N1" i="3"/>
  <c r="AC1" i="3"/>
</calcChain>
</file>

<file path=xl/sharedStrings.xml><?xml version="1.0" encoding="utf-8"?>
<sst xmlns="http://schemas.openxmlformats.org/spreadsheetml/2006/main" count="424" uniqueCount="279">
  <si>
    <t>(BR_Com004)会議室タブレット登録_画面定義書</t>
  </si>
  <si>
    <t>第二開発本部　標準化</t>
    <rPh sb="0" eb="2">
      <t>ダイニ</t>
    </rPh>
    <rPh sb="2" eb="4">
      <t>カイハツ</t>
    </rPh>
    <rPh sb="4" eb="6">
      <t>ホンブ</t>
    </rPh>
    <rPh sb="7" eb="10">
      <t>ヒョウジュンカ</t>
    </rPh>
    <phoneticPr fontId="1"/>
  </si>
  <si>
    <t>会議室予約システム構築</t>
    <rPh sb="0" eb="3">
      <t>カイギシツ</t>
    </rPh>
    <rPh sb="3" eb="5">
      <t>ヨヤク</t>
    </rPh>
    <rPh sb="9" eb="11">
      <t>コウチク</t>
    </rPh>
    <phoneticPr fontId="1"/>
  </si>
  <si>
    <t>基本設計</t>
    <rPh sb="0" eb="4">
      <t>キホンセッケイ</t>
    </rPh>
    <phoneticPr fontId="1"/>
  </si>
  <si>
    <t>システム名称</t>
    <rPh sb="4" eb="6">
      <t>メイショウ</t>
    </rPh>
    <phoneticPr fontId="1"/>
  </si>
  <si>
    <t>成果物名</t>
    <rPh sb="0" eb="3">
      <t>セイカブツ</t>
    </rPh>
    <rPh sb="3" eb="4">
      <t>メイ</t>
    </rPh>
    <phoneticPr fontId="1"/>
  </si>
  <si>
    <t>バージョン</t>
    <phoneticPr fontId="1"/>
  </si>
  <si>
    <t>更新日</t>
    <rPh sb="0" eb="3">
      <t>コウシンビ</t>
    </rPh>
    <phoneticPr fontId="1"/>
  </si>
  <si>
    <t>更新者</t>
    <rPh sb="0" eb="3">
      <t>コウシンシャ</t>
    </rPh>
    <phoneticPr fontId="1"/>
  </si>
  <si>
    <t>作成日</t>
    <rPh sb="0" eb="3">
      <t>サクセイビ</t>
    </rPh>
    <phoneticPr fontId="1"/>
  </si>
  <si>
    <t>作成者</t>
    <rPh sb="0" eb="3">
      <t>サクセイシャ</t>
    </rPh>
    <phoneticPr fontId="1"/>
  </si>
  <si>
    <t>改訂履歴</t>
  </si>
  <si>
    <t>Ver.</t>
  </si>
  <si>
    <t>更新日</t>
  </si>
  <si>
    <t>更新者</t>
  </si>
  <si>
    <t>改訂内容・理由</t>
  </si>
  <si>
    <t>1.00</t>
  </si>
  <si>
    <t>SRO 尾崎</t>
    <rPh sb="4" eb="6">
      <t>オザキ</t>
    </rPh>
    <phoneticPr fontId="1"/>
  </si>
  <si>
    <t>初版</t>
  </si>
  <si>
    <t>機能概要</t>
    <rPh sb="0" eb="4">
      <t>キノウガイヨウ</t>
    </rPh>
    <phoneticPr fontId="1"/>
  </si>
  <si>
    <t>機能目的</t>
    <rPh sb="0" eb="4">
      <t>キノウモクテキ</t>
    </rPh>
    <phoneticPr fontId="4"/>
  </si>
  <si>
    <t>会議室の設置タブレットに会議室を紐づけて管理する。</t>
    <phoneticPr fontId="0" type="Hiragana"/>
  </si>
  <si>
    <t>また、別会議室延長予約画面に表示する会議室を設定する。</t>
  </si>
  <si>
    <t>利用者</t>
  </si>
  <si>
    <t>システム管理者</t>
    <phoneticPr fontId="1"/>
  </si>
  <si>
    <t>前提条件</t>
    <rPh sb="0" eb="4">
      <t>ゼンテイジョウケン</t>
    </rPh>
    <phoneticPr fontId="5"/>
  </si>
  <si>
    <t>なし</t>
    <phoneticPr fontId="1"/>
  </si>
  <si>
    <t>アクセス頻度</t>
    <rPh sb="4" eb="6">
      <t>ヒンド</t>
    </rPh>
    <phoneticPr fontId="5"/>
  </si>
  <si>
    <t>タブレット初回設定時のみ</t>
  </si>
  <si>
    <t>関連業務フロー</t>
  </si>
  <si>
    <t xml:space="preserve">【RAS】新業務フロー.xlsx </t>
  </si>
  <si>
    <t>・</t>
  </si>
  <si>
    <t>2-2.リアルタイム予約登録</t>
  </si>
  <si>
    <t>2-3.リアルタイム予約延長</t>
  </si>
  <si>
    <t>2-4.リアルタイム予約短縮</t>
  </si>
  <si>
    <t>機能間引数定義</t>
    <rPh sb="0" eb="7">
      <t>キノウカンヒキスウテイギ</t>
    </rPh>
    <phoneticPr fontId="1"/>
  </si>
  <si>
    <t>【IN】</t>
    <phoneticPr fontId="1"/>
  </si>
  <si>
    <t>No．</t>
    <phoneticPr fontId="1"/>
  </si>
  <si>
    <t>遷移元画面名</t>
    <rPh sb="0" eb="3">
      <t>センイモト</t>
    </rPh>
    <rPh sb="3" eb="6">
      <t>ガメンメイ</t>
    </rPh>
    <phoneticPr fontId="1"/>
  </si>
  <si>
    <t>引数</t>
    <rPh sb="0" eb="2">
      <t>ヒキスウ</t>
    </rPh>
    <phoneticPr fontId="1"/>
  </si>
  <si>
    <t>備考</t>
    <rPh sb="0" eb="2">
      <t>ビコウ</t>
    </rPh>
    <phoneticPr fontId="1"/>
  </si>
  <si>
    <t>論理名</t>
    <rPh sb="0" eb="3">
      <t>ロンリメイ</t>
    </rPh>
    <phoneticPr fontId="1"/>
  </si>
  <si>
    <t>型</t>
    <rPh sb="0" eb="1">
      <t>カタ</t>
    </rPh>
    <phoneticPr fontId="1"/>
  </si>
  <si>
    <t>なし（メニューリンク）</t>
    <phoneticPr fontId="1"/>
  </si>
  <si>
    <t>--</t>
    <phoneticPr fontId="1"/>
  </si>
  <si>
    <t>--</t>
  </si>
  <si>
    <t>【OUT】</t>
    <phoneticPr fontId="1"/>
  </si>
  <si>
    <t>なし</t>
  </si>
  <si>
    <t>レイアウト</t>
    <phoneticPr fontId="1"/>
  </si>
  <si>
    <t>項目定義</t>
    <rPh sb="0" eb="4">
      <t>コウモクテイギ</t>
    </rPh>
    <phoneticPr fontId="1"/>
  </si>
  <si>
    <t>No.</t>
    <phoneticPr fontId="1"/>
  </si>
  <si>
    <t>項目名</t>
    <phoneticPr fontId="1"/>
  </si>
  <si>
    <t>I/O
区分</t>
    <phoneticPr fontId="1"/>
  </si>
  <si>
    <t>項目型</t>
    <phoneticPr fontId="1"/>
  </si>
  <si>
    <t>必須</t>
    <phoneticPr fontId="1"/>
  </si>
  <si>
    <t>桁数</t>
    <phoneticPr fontId="1"/>
  </si>
  <si>
    <t>型</t>
  </si>
  <si>
    <t>入力/表示規則</t>
  </si>
  <si>
    <t>初期値</t>
  </si>
  <si>
    <t>リスト設定値</t>
    <rPh sb="3" eb="6">
      <t>セッテイチ</t>
    </rPh>
    <phoneticPr fontId="1"/>
  </si>
  <si>
    <t>備考</t>
    <phoneticPr fontId="1"/>
  </si>
  <si>
    <t>取得元</t>
  </si>
  <si>
    <t>登録</t>
    <rPh sb="0" eb="2">
      <t>トウロク</t>
    </rPh>
    <phoneticPr fontId="1"/>
  </si>
  <si>
    <t>IN</t>
  </si>
  <si>
    <t>ボタン</t>
  </si>
  <si>
    <t>会議室名が"未選択"の場合、非表示</t>
    <rPh sb="6" eb="9">
      <t>ミセンタク</t>
    </rPh>
    <rPh sb="11" eb="13">
      <t>バアイ</t>
    </rPh>
    <rPh sb="14" eb="17">
      <t>ヒヒョウジ</t>
    </rPh>
    <phoneticPr fontId="1"/>
  </si>
  <si>
    <t>設置会議室</t>
    <rPh sb="0" eb="5">
      <t>セッチカイギシツ</t>
    </rPh>
    <phoneticPr fontId="1"/>
  </si>
  <si>
    <t>ドロップダウンリスト</t>
  </si>
  <si>
    <t>○</t>
  </si>
  <si>
    <t>"未選択"</t>
  </si>
  <si>
    <t>会議室マスタ．会議室名</t>
  </si>
  <si>
    <t>タブレット端末ID</t>
    <phoneticPr fontId="1"/>
  </si>
  <si>
    <t>IN/
OUT</t>
  </si>
  <si>
    <t>テキストボックス（文字）</t>
  </si>
  <si>
    <t>×</t>
  </si>
  <si>
    <t>会議室名が"未選択"の場合、入力不可</t>
    <rPh sb="6" eb="9">
      <t>ミセンタク</t>
    </rPh>
    <phoneticPr fontId="1"/>
  </si>
  <si>
    <t>延長候補会議室</t>
    <phoneticPr fontId="1"/>
  </si>
  <si>
    <t>OUT</t>
  </si>
  <si>
    <t>会議室名をセミコロン(;)区切りで表示</t>
    <rPh sb="3" eb="4">
      <t>メイ</t>
    </rPh>
    <phoneticPr fontId="1"/>
  </si>
  <si>
    <t>検索イメージボタン</t>
  </si>
  <si>
    <t>イベント定義</t>
    <rPh sb="4" eb="6">
      <t>テイギ</t>
    </rPh>
    <phoneticPr fontId="1"/>
  </si>
  <si>
    <t>イベント名</t>
    <rPh sb="4" eb="5">
      <t>メイ</t>
    </rPh>
    <phoneticPr fontId="1"/>
  </si>
  <si>
    <t>イベント概要</t>
    <phoneticPr fontId="1"/>
  </si>
  <si>
    <t>イベント処理詳細</t>
    <phoneticPr fontId="1"/>
  </si>
  <si>
    <t>参照シート</t>
    <rPh sb="0" eb="2">
      <t>サンショウ</t>
    </rPh>
    <phoneticPr fontId="1"/>
  </si>
  <si>
    <t>初期表示</t>
  </si>
  <si>
    <t>会議室名の一覧を取得して設置会議室リストに設定する。</t>
    <rPh sb="12" eb="14">
      <t>セッチ</t>
    </rPh>
    <rPh sb="14" eb="17">
      <t>カイギシツ</t>
    </rPh>
    <rPh sb="21" eb="23">
      <t>セッテイ</t>
    </rPh>
    <phoneticPr fontId="1"/>
  </si>
  <si>
    <t>1-1.</t>
  </si>
  <si>
    <t>エラーチェックを行う。</t>
    <rPh sb="8" eb="9">
      <t>オコナ</t>
    </rPh>
    <phoneticPr fontId="1"/>
  </si>
  <si>
    <t>エラーチェック一覧（No.1）</t>
    <phoneticPr fontId="1"/>
  </si>
  <si>
    <t>1-2.</t>
    <phoneticPr fontId="1"/>
  </si>
  <si>
    <t>会議室マスタを検索し、設置会議室ドロップダウンリストに設定する</t>
    <phoneticPr fontId="1"/>
  </si>
  <si>
    <t>データアクセス定義（SELECT_001）</t>
  </si>
  <si>
    <t>設置会議室ドロップダウンリスト選択</t>
    <rPh sb="0" eb="2">
      <t>セッチ</t>
    </rPh>
    <rPh sb="2" eb="5">
      <t>カイギシツ</t>
    </rPh>
    <rPh sb="3" eb="4">
      <t>ギ</t>
    </rPh>
    <phoneticPr fontId="1"/>
  </si>
  <si>
    <t>選択した設置会議室に紐づく以下のデータを取得して画面に表示する。
　・タブレット管理マスタ
　・タブレット延長候補会議室マスタ</t>
    <rPh sb="0" eb="2">
      <t>センタク</t>
    </rPh>
    <rPh sb="4" eb="6">
      <t>セッチ</t>
    </rPh>
    <rPh sb="6" eb="9">
      <t>カイギシツ</t>
    </rPh>
    <rPh sb="20" eb="22">
      <t>シュトク</t>
    </rPh>
    <rPh sb="24" eb="26">
      <t>ガメン</t>
    </rPh>
    <rPh sb="27" eb="29">
      <t>ヒョウジ</t>
    </rPh>
    <phoneticPr fontId="1"/>
  </si>
  <si>
    <t>2-1.</t>
  </si>
  <si>
    <t>選択した設置会議室に紐づくマスタのデータを取得する。</t>
  </si>
  <si>
    <t>データアクセス定義（SELECT_002）</t>
    <phoneticPr fontId="1"/>
  </si>
  <si>
    <t>2-2.</t>
  </si>
  <si>
    <t>延長候補会議室検索イメージボタン押下</t>
    <rPh sb="7" eb="9">
      <t>ケンサク</t>
    </rPh>
    <rPh sb="16" eb="18">
      <t>オウカ</t>
    </rPh>
    <phoneticPr fontId="1"/>
  </si>
  <si>
    <t>会議室検索子画面へ遷移し、遷移先画面で選択した会議室を延長候補会議室に設定する。</t>
    <rPh sb="9" eb="11">
      <t>センイ</t>
    </rPh>
    <rPh sb="13" eb="16">
      <t>センイサキ</t>
    </rPh>
    <rPh sb="16" eb="18">
      <t>ガメン</t>
    </rPh>
    <rPh sb="27" eb="29">
      <t>エンチョウ</t>
    </rPh>
    <rPh sb="29" eb="31">
      <t>コウホ</t>
    </rPh>
    <rPh sb="31" eb="34">
      <t>カイギシツ</t>
    </rPh>
    <phoneticPr fontId="1"/>
  </si>
  <si>
    <t>3-1.</t>
  </si>
  <si>
    <t>3-2.</t>
  </si>
  <si>
    <t>登録ボタン押下</t>
  </si>
  <si>
    <t>入力したタブレット端末IDと延長候補会議室を以下のマスタに登録する。
　・タブレット管理マスタ
　・タブレット延長候補会議室マスタ</t>
  </si>
  <si>
    <t>4-1.</t>
  </si>
  <si>
    <t>エラーチェック一覧（No.2~3）</t>
    <phoneticPr fontId="1"/>
  </si>
  <si>
    <t>4-2.</t>
  </si>
  <si>
    <t>■選択している設置会議室に紐づくタブレット管理マスタが存在しない場合、入力したタブレット端末IDをタブレット管理マスタに登録する。</t>
    <rPh sb="1" eb="3">
      <t>センタク</t>
    </rPh>
    <rPh sb="7" eb="12">
      <t>セッチカイギシツ</t>
    </rPh>
    <rPh sb="21" eb="23">
      <t>カンリ</t>
    </rPh>
    <rPh sb="27" eb="29">
      <t>ソンザイ</t>
    </rPh>
    <rPh sb="32" eb="34">
      <t>バアイ</t>
    </rPh>
    <rPh sb="35" eb="37">
      <t>ニュウリョク</t>
    </rPh>
    <rPh sb="44" eb="46">
      <t>タンマツ</t>
    </rPh>
    <rPh sb="54" eb="56">
      <t>カンリ</t>
    </rPh>
    <rPh sb="60" eb="62">
      <t>トウロク</t>
    </rPh>
    <phoneticPr fontId="1"/>
  </si>
  <si>
    <t>データアクセス定義（INSERT_001）</t>
    <rPh sb="7" eb="9">
      <t>テイギ</t>
    </rPh>
    <phoneticPr fontId="1"/>
  </si>
  <si>
    <t>■上記以外の場合、入力したタブレット端末IDで設置会議室に紐づくタブレット管理マスタを更新する。</t>
    <rPh sb="1" eb="5">
      <t>ジョウキイガイ</t>
    </rPh>
    <rPh sb="6" eb="8">
      <t>バアイ</t>
    </rPh>
    <rPh sb="9" eb="11">
      <t>ニュウリョク</t>
    </rPh>
    <rPh sb="18" eb="20">
      <t>タンマツ</t>
    </rPh>
    <rPh sb="23" eb="28">
      <t>セッチカイギシツ</t>
    </rPh>
    <rPh sb="29" eb="30">
      <t>ヒモ</t>
    </rPh>
    <rPh sb="37" eb="39">
      <t>カンリ</t>
    </rPh>
    <rPh sb="43" eb="45">
      <t>コウシン</t>
    </rPh>
    <phoneticPr fontId="1"/>
  </si>
  <si>
    <t>4-3.</t>
    <phoneticPr fontId="1"/>
  </si>
  <si>
    <t>4-2の処理対象のタブレットIDに紐づく、タブレット延長候補会議室マスタを削除する。</t>
    <rPh sb="4" eb="6">
      <t>ショリ</t>
    </rPh>
    <rPh sb="6" eb="8">
      <t>タイショウ</t>
    </rPh>
    <rPh sb="17" eb="18">
      <t>ヒモ</t>
    </rPh>
    <rPh sb="26" eb="30">
      <t>エンチョウコウホ</t>
    </rPh>
    <rPh sb="30" eb="33">
      <t>カイギシツ</t>
    </rPh>
    <rPh sb="37" eb="39">
      <t>サクジョ</t>
    </rPh>
    <rPh sb="39" eb="41">
      <t>ゼンサクジョ</t>
    </rPh>
    <phoneticPr fontId="1"/>
  </si>
  <si>
    <t>データアクセス定義（DELETE_001）</t>
    <rPh sb="7" eb="9">
      <t>テイギ</t>
    </rPh>
    <phoneticPr fontId="1"/>
  </si>
  <si>
    <t>4-4.</t>
    <phoneticPr fontId="1"/>
  </si>
  <si>
    <t>入力した延長候補会議室を、タブレット延長候補会議室マスタに登録する。</t>
    <rPh sb="0" eb="2">
      <t>ニュウリョク</t>
    </rPh>
    <rPh sb="4" eb="6">
      <t>エンチョウ</t>
    </rPh>
    <rPh sb="6" eb="8">
      <t>コウホ</t>
    </rPh>
    <rPh sb="8" eb="11">
      <t>カイギシツ</t>
    </rPh>
    <rPh sb="18" eb="20">
      <t>エンチョウ</t>
    </rPh>
    <rPh sb="20" eb="22">
      <t>コウホ</t>
    </rPh>
    <rPh sb="22" eb="25">
      <t>カイギシツ</t>
    </rPh>
    <rPh sb="29" eb="31">
      <t>トウロク</t>
    </rPh>
    <phoneticPr fontId="1"/>
  </si>
  <si>
    <t>データアクセス定義（INSERT_002）</t>
    <rPh sb="7" eb="9">
      <t>テイギ</t>
    </rPh>
    <phoneticPr fontId="1"/>
  </si>
  <si>
    <t>4-5.</t>
    <phoneticPr fontId="1"/>
  </si>
  <si>
    <t>以下の成功メッセージを表示する</t>
  </si>
  <si>
    <t>「タブレット情報を登録しました。」</t>
    <rPh sb="6" eb="8">
      <t>ジョウホウ</t>
    </rPh>
    <phoneticPr fontId="1"/>
  </si>
  <si>
    <t>データアクセス定義</t>
    <rPh sb="7" eb="9">
      <t>テイギ</t>
    </rPh>
    <phoneticPr fontId="1"/>
  </si>
  <si>
    <t>取得</t>
    <rPh sb="0" eb="2">
      <t>シュトク</t>
    </rPh>
    <phoneticPr fontId="1"/>
  </si>
  <si>
    <t>データアクセスNo．</t>
    <phoneticPr fontId="1"/>
  </si>
  <si>
    <t>SELECT_001</t>
    <phoneticPr fontId="1"/>
  </si>
  <si>
    <t>初期表示</t>
    <rPh sb="0" eb="4">
      <t>ショキヒョウジ</t>
    </rPh>
    <phoneticPr fontId="1"/>
  </si>
  <si>
    <t>検索先テーブル</t>
    <phoneticPr fontId="1"/>
  </si>
  <si>
    <t>結合条件</t>
    <phoneticPr fontId="1"/>
  </si>
  <si>
    <t>結合タイプ</t>
    <rPh sb="0" eb="2">
      <t>ケツゴウ</t>
    </rPh>
    <phoneticPr fontId="1"/>
  </si>
  <si>
    <t>会議室マスタ</t>
    <rPh sb="0" eb="3">
      <t>カイギシツ</t>
    </rPh>
    <phoneticPr fontId="1"/>
  </si>
  <si>
    <t>抽出条件</t>
    <rPh sb="0" eb="4">
      <t>チュウシュツジョウケン</t>
    </rPh>
    <phoneticPr fontId="1"/>
  </si>
  <si>
    <t>特記事項</t>
    <rPh sb="0" eb="4">
      <t>トッキジコウ</t>
    </rPh>
    <phoneticPr fontId="1"/>
  </si>
  <si>
    <t>グループ条件</t>
    <rPh sb="4" eb="6">
      <t>ジョウケン</t>
    </rPh>
    <phoneticPr fontId="1"/>
  </si>
  <si>
    <t>ソート</t>
    <phoneticPr fontId="1"/>
  </si>
  <si>
    <t>会議室マスタ．会議室名　昇順</t>
    <rPh sb="0" eb="3">
      <t>カイギシツ</t>
    </rPh>
    <rPh sb="7" eb="10">
      <t>カイギシツ</t>
    </rPh>
    <rPh sb="10" eb="11">
      <t>メイ</t>
    </rPh>
    <rPh sb="12" eb="14">
      <t>ショウジュン</t>
    </rPh>
    <phoneticPr fontId="1"/>
  </si>
  <si>
    <t>取得件数制御</t>
    <rPh sb="0" eb="6">
      <t>シュトクケンスウセイギョ</t>
    </rPh>
    <phoneticPr fontId="1"/>
  </si>
  <si>
    <t>SELECT_002</t>
    <phoneticPr fontId="1"/>
  </si>
  <si>
    <t>設置会議室ドロップダウンリスト選択</t>
    <rPh sb="0" eb="2">
      <t>セッチ</t>
    </rPh>
    <rPh sb="2" eb="5">
      <t>カイギシツ</t>
    </rPh>
    <rPh sb="15" eb="17">
      <t>センタク</t>
    </rPh>
    <phoneticPr fontId="1"/>
  </si>
  <si>
    <t>タブレット管理マスタ</t>
    <rPh sb="5" eb="7">
      <t>カンリ</t>
    </rPh>
    <phoneticPr fontId="1"/>
  </si>
  <si>
    <t>タブレット延長候補会議室マスタ</t>
    <rPh sb="5" eb="12">
      <t>エンチョウコウホカイギシツ</t>
    </rPh>
    <phoneticPr fontId="1"/>
  </si>
  <si>
    <t>タブレット管理マスタ．タブレットID　=　タブレット延長候補会議室マスタ．タブレットID</t>
    <rPh sb="5" eb="7">
      <t>カンリ</t>
    </rPh>
    <rPh sb="26" eb="28">
      <t>エンチョウ</t>
    </rPh>
    <rPh sb="28" eb="30">
      <t>コウホ</t>
    </rPh>
    <rPh sb="30" eb="33">
      <t>カイギシツ</t>
    </rPh>
    <phoneticPr fontId="1"/>
  </si>
  <si>
    <t>外部結合</t>
    <rPh sb="0" eb="2">
      <t>ガイブ</t>
    </rPh>
    <rPh sb="2" eb="4">
      <t>ケツゴウ</t>
    </rPh>
    <phoneticPr fontId="1"/>
  </si>
  <si>
    <t>タブレット延長候補会議室マスタ．延長候補会議室ID　=　会議室マスタ．会議室ID</t>
    <rPh sb="5" eb="9">
      <t>エンチョウコウホ</t>
    </rPh>
    <rPh sb="9" eb="12">
      <t>カイギシツ</t>
    </rPh>
    <rPh sb="16" eb="20">
      <t>エンチョウコウホ</t>
    </rPh>
    <rPh sb="20" eb="23">
      <t>カイギシツ</t>
    </rPh>
    <rPh sb="28" eb="31">
      <t>カイギシツ</t>
    </rPh>
    <rPh sb="35" eb="38">
      <t>カイギシツ</t>
    </rPh>
    <phoneticPr fontId="1"/>
  </si>
  <si>
    <t>タブレット管理マスタ．会議室ID　=　画面．設置会議室に紐づく会議室ID</t>
    <rPh sb="22" eb="27">
      <t>セッチカイギシツ</t>
    </rPh>
    <phoneticPr fontId="1"/>
  </si>
  <si>
    <t>INSERT_001</t>
    <phoneticPr fontId="1"/>
  </si>
  <si>
    <t>登録ボタン押下</t>
    <rPh sb="0" eb="2">
      <t>トウロク</t>
    </rPh>
    <rPh sb="5" eb="7">
      <t>オウカ</t>
    </rPh>
    <phoneticPr fontId="1"/>
  </si>
  <si>
    <t>テーブル名</t>
    <phoneticPr fontId="1"/>
  </si>
  <si>
    <t>項目名</t>
    <rPh sb="0" eb="3">
      <t>コウモクメイ</t>
    </rPh>
    <phoneticPr fontId="1"/>
  </si>
  <si>
    <t>設定値</t>
    <rPh sb="0" eb="3">
      <t>セッテイチ</t>
    </rPh>
    <phoneticPr fontId="1"/>
  </si>
  <si>
    <t>画面項目名/固定値</t>
    <phoneticPr fontId="1"/>
  </si>
  <si>
    <t>設定条件</t>
    <rPh sb="0" eb="4">
      <t>セッテイジョウケン</t>
    </rPh>
    <phoneticPr fontId="1"/>
  </si>
  <si>
    <t>タブレットID</t>
    <phoneticPr fontId="1"/>
  </si>
  <si>
    <t>{新規採番したUUID}</t>
    <rPh sb="1" eb="5">
      <t>シンキサイバン</t>
    </rPh>
    <phoneticPr fontId="1"/>
  </si>
  <si>
    <t>会議室ID</t>
    <rPh sb="0" eb="3">
      <t>カイギシツ</t>
    </rPh>
    <phoneticPr fontId="1"/>
  </si>
  <si>
    <t>画面．選択会議室に紐づく会議室ID</t>
    <rPh sb="0" eb="2">
      <t>ガメン</t>
    </rPh>
    <rPh sb="3" eb="5">
      <t>センタク</t>
    </rPh>
    <rPh sb="5" eb="8">
      <t>カイギシツ</t>
    </rPh>
    <rPh sb="9" eb="10">
      <t>ヒモ</t>
    </rPh>
    <rPh sb="12" eb="15">
      <t>カイギシツ</t>
    </rPh>
    <phoneticPr fontId="1"/>
  </si>
  <si>
    <t>タブレット端末ID</t>
    <rPh sb="5" eb="7">
      <t>タンマツ</t>
    </rPh>
    <phoneticPr fontId="1"/>
  </si>
  <si>
    <t>画面．タブレット端末ID</t>
    <rPh sb="0" eb="2">
      <t>ガメン</t>
    </rPh>
    <rPh sb="8" eb="10">
      <t>タンマツ</t>
    </rPh>
    <phoneticPr fontId="1"/>
  </si>
  <si>
    <t>INSERT_002</t>
    <phoneticPr fontId="1"/>
  </si>
  <si>
    <t>タブレット延長候補会議室マスタ</t>
    <rPh sb="5" eb="7">
      <t>エンチョウ</t>
    </rPh>
    <rPh sb="7" eb="9">
      <t>コウホ</t>
    </rPh>
    <rPh sb="9" eb="12">
      <t>カイギシツ</t>
    </rPh>
    <phoneticPr fontId="1"/>
  </si>
  <si>
    <t>タブレット管理マスタ．タブレットID</t>
    <rPh sb="5" eb="7">
      <t>カンリ</t>
    </rPh>
    <phoneticPr fontId="1"/>
  </si>
  <si>
    <t>処理対象のタブレットID</t>
    <rPh sb="0" eb="2">
      <t>ショリ</t>
    </rPh>
    <rPh sb="2" eb="4">
      <t>タイショウ</t>
    </rPh>
    <phoneticPr fontId="1"/>
  </si>
  <si>
    <t>タブレット延長候補会議室ID</t>
    <rPh sb="5" eb="7">
      <t>エンチョウ</t>
    </rPh>
    <rPh sb="7" eb="9">
      <t>コウホ</t>
    </rPh>
    <rPh sb="9" eb="12">
      <t>カイギシツ</t>
    </rPh>
    <phoneticPr fontId="1"/>
  </si>
  <si>
    <t>画面．延長候補会議室に紐づく会議室ID</t>
    <rPh sb="0" eb="2">
      <t>ガメン</t>
    </rPh>
    <rPh sb="3" eb="7">
      <t>エンチョウコウホ</t>
    </rPh>
    <rPh sb="7" eb="10">
      <t>カイギシツ</t>
    </rPh>
    <rPh sb="11" eb="12">
      <t>ヒモ</t>
    </rPh>
    <rPh sb="14" eb="17">
      <t>カイギシツ</t>
    </rPh>
    <phoneticPr fontId="1"/>
  </si>
  <si>
    <t>更新</t>
    <rPh sb="0" eb="2">
      <t>コウシン</t>
    </rPh>
    <phoneticPr fontId="1"/>
  </si>
  <si>
    <t>UPDATE_001</t>
    <phoneticPr fontId="1"/>
  </si>
  <si>
    <t>更新条件</t>
    <rPh sb="0" eb="2">
      <t>コウシン</t>
    </rPh>
    <rPh sb="2" eb="4">
      <t>ジョウケン</t>
    </rPh>
    <phoneticPr fontId="1"/>
  </si>
  <si>
    <t>タブレット管理マスタ．タブレットID　=　処理対象のタブレットID</t>
    <rPh sb="5" eb="7">
      <t>カンリ</t>
    </rPh>
    <phoneticPr fontId="1"/>
  </si>
  <si>
    <t>削除</t>
    <rPh sb="0" eb="2">
      <t>サクジョ</t>
    </rPh>
    <phoneticPr fontId="1"/>
  </si>
  <si>
    <t>DELETE_001</t>
    <phoneticPr fontId="1"/>
  </si>
  <si>
    <t>タブレット延長候補会議室マスタ</t>
    <rPh sb="5" eb="9">
      <t>エンチョウコウホ</t>
    </rPh>
    <rPh sb="9" eb="12">
      <t>カイギシツ</t>
    </rPh>
    <phoneticPr fontId="1"/>
  </si>
  <si>
    <t>削除条件</t>
    <rPh sb="0" eb="2">
      <t>サクジョ</t>
    </rPh>
    <rPh sb="2" eb="4">
      <t>ジョウケン</t>
    </rPh>
    <phoneticPr fontId="1"/>
  </si>
  <si>
    <t>タブレット延長候補会議室マスタ．タブレットID　=　処理対象のタブレットID</t>
    <rPh sb="5" eb="7">
      <t>エンチョウ</t>
    </rPh>
    <rPh sb="7" eb="9">
      <t>コウホ</t>
    </rPh>
    <rPh sb="9" eb="12">
      <t>カイギシツ</t>
    </rPh>
    <phoneticPr fontId="1"/>
  </si>
  <si>
    <t>エラーチェック一覧</t>
    <rPh sb="7" eb="9">
      <t>イチラン</t>
    </rPh>
    <phoneticPr fontId="1"/>
  </si>
  <si>
    <t>イベント名</t>
    <rPh sb="4" eb="5">
      <t>メイ</t>
    </rPh>
    <phoneticPr fontId="13"/>
  </si>
  <si>
    <t>チェック種類</t>
    <rPh sb="4" eb="6">
      <t>シュルイ</t>
    </rPh>
    <phoneticPr fontId="1"/>
  </si>
  <si>
    <t>チェック名</t>
    <rPh sb="4" eb="5">
      <t>メイ</t>
    </rPh>
    <phoneticPr fontId="1"/>
  </si>
  <si>
    <t>チェック条件</t>
    <rPh sb="4" eb="6">
      <t>ジョウケン</t>
    </rPh>
    <phoneticPr fontId="1"/>
  </si>
  <si>
    <t>メッセージ内容</t>
    <rPh sb="5" eb="7">
      <t>ナイヨウ</t>
    </rPh>
    <phoneticPr fontId="1"/>
  </si>
  <si>
    <t>エラー</t>
  </si>
  <si>
    <t>アクセス権限チェック</t>
    <rPh sb="3" eb="5">
      <t>ケンゲン</t>
    </rPh>
    <phoneticPr fontId="1"/>
  </si>
  <si>
    <t>ログインユーザの権限にシステム管理者が付与されていない</t>
    <rPh sb="8" eb="10">
      <t>ケンゲン</t>
    </rPh>
    <rPh sb="19" eb="21">
      <t>フヨ</t>
    </rPh>
    <phoneticPr fontId="1"/>
  </si>
  <si>
    <t>※一括予約エラー表示画面で定義</t>
    <rPh sb="1" eb="5">
      <t>イッカツヨヤク</t>
    </rPh>
    <rPh sb="8" eb="12">
      <t>ヒョウジガメン</t>
    </rPh>
    <rPh sb="13" eb="15">
      <t>テイギ</t>
    </rPh>
    <phoneticPr fontId="1"/>
  </si>
  <si>
    <t>一括予約エラー表示画面へ遷移する（403エラー）</t>
    <rPh sb="12" eb="14">
      <t>センイ</t>
    </rPh>
    <phoneticPr fontId="1"/>
  </si>
  <si>
    <t>警告</t>
    <rPh sb="0" eb="2">
      <t>ケイコク</t>
    </rPh>
    <phoneticPr fontId="1"/>
  </si>
  <si>
    <t>登録確認</t>
    <rPh sb="0" eb="1">
      <t>トウロク</t>
    </rPh>
    <rPh sb="1" eb="3">
      <t>カクニン</t>
    </rPh>
    <phoneticPr fontId="1"/>
  </si>
  <si>
    <t>入力情報を登録します。よろしいですか？</t>
  </si>
  <si>
    <t>タブレット端末ID存在チェック</t>
    <rPh sb="5" eb="7">
      <t>タンマツ</t>
    </rPh>
    <rPh sb="9" eb="11">
      <t>ソンザイ</t>
    </rPh>
    <phoneticPr fontId="1"/>
  </si>
  <si>
    <t>画面．タブレット端末IDがタブレット管理マスタに存在しており、かつ、画面．設置会議室と異なる設置会議室が紐づいている</t>
    <rPh sb="0" eb="2">
      <t>ガメン</t>
    </rPh>
    <rPh sb="8" eb="10">
      <t>タンマツ</t>
    </rPh>
    <rPh sb="18" eb="20">
      <t>カンリ</t>
    </rPh>
    <rPh sb="24" eb="26">
      <t>ソンザイ</t>
    </rPh>
    <phoneticPr fontId="1"/>
  </si>
  <si>
    <t>タブレット端末ID：他の会議室に登録されています。（会議室名：{0}）</t>
    <phoneticPr fontId="1"/>
  </si>
  <si>
    <t>{0}：タブレット端末IDが紐づく会議室名</t>
    <rPh sb="9" eb="11">
      <t>タンマツ</t>
    </rPh>
    <rPh sb="14" eb="15">
      <t>ヒモ</t>
    </rPh>
    <rPh sb="17" eb="20">
      <t>カイギシツ</t>
    </rPh>
    <rPh sb="20" eb="21">
      <t>メイ</t>
    </rPh>
    <phoneticPr fontId="1"/>
  </si>
  <si>
    <t>■初期表示</t>
    <rPh sb="1" eb="5">
      <t>ショキヒョウジ</t>
    </rPh>
    <phoneticPr fontId="1"/>
  </si>
  <si>
    <t>Reserve Agent 
System</t>
    <phoneticPr fontId="1"/>
  </si>
  <si>
    <t>会議室タブレット登録</t>
    <phoneticPr fontId="0" type="Hiragana"/>
  </si>
  <si>
    <t>一括予約</t>
    <rPh sb="0" eb="2">
      <t>イッカツ</t>
    </rPh>
    <rPh sb="2" eb="4">
      <t>ヨヤク</t>
    </rPh>
    <phoneticPr fontId="1"/>
  </si>
  <si>
    <t>会議出席者空き予約</t>
    <rPh sb="0" eb="2">
      <t>カイギ</t>
    </rPh>
    <rPh sb="2" eb="5">
      <t>シュッセキシャ</t>
    </rPh>
    <rPh sb="5" eb="6">
      <t>ア</t>
    </rPh>
    <rPh sb="7" eb="9">
      <t>ヨヤク</t>
    </rPh>
    <phoneticPr fontId="1"/>
  </si>
  <si>
    <t>設置会議室</t>
    <rPh sb="0" eb="2">
      <t>せっち</t>
    </rPh>
    <rPh sb="2" eb="5">
      <t>かいぎしつ</t>
    </rPh>
    <phoneticPr fontId="0" type="Hiragana"/>
  </si>
  <si>
    <t>会議室タブレット登録</t>
    <rPh sb="0" eb="3">
      <t>カイギシツ</t>
    </rPh>
    <rPh sb="8" eb="10">
      <t>トウロク</t>
    </rPh>
    <phoneticPr fontId="1"/>
  </si>
  <si>
    <t>タブレット端末ID</t>
    <phoneticPr fontId="0" type="Hiragana"/>
  </si>
  <si>
    <t>延長候補会議室</t>
    <phoneticPr fontId="0" type="Hiragana"/>
  </si>
  <si>
    <t>ログインユーザ名</t>
    <rPh sb="7" eb="8">
      <t>メイ</t>
    </rPh>
    <phoneticPr fontId="1"/>
  </si>
  <si>
    <t>■会議室選択時</t>
    <rPh sb="1" eb="4">
      <t>カイギシツ</t>
    </rPh>
    <rPh sb="4" eb="7">
      <t>センタクジ</t>
    </rPh>
    <phoneticPr fontId="1"/>
  </si>
  <si>
    <t>画面レイアウト部品</t>
    <rPh sb="0" eb="2">
      <t>ガメン</t>
    </rPh>
    <rPh sb="7" eb="9">
      <t>ブヒン</t>
    </rPh>
    <phoneticPr fontId="1"/>
  </si>
  <si>
    <t>ラベル</t>
    <phoneticPr fontId="1"/>
  </si>
  <si>
    <t>ボタン</t>
    <phoneticPr fontId="1"/>
  </si>
  <si>
    <t>テキストボックス</t>
    <phoneticPr fontId="1"/>
  </si>
  <si>
    <t>検索テキストボックス</t>
    <rPh sb="0" eb="2">
      <t>ケンサク</t>
    </rPh>
    <phoneticPr fontId="1"/>
  </si>
  <si>
    <t>日付入力</t>
    <rPh sb="0" eb="2">
      <t>ヒヅケ</t>
    </rPh>
    <rPh sb="2" eb="4">
      <t>ニュウリョク</t>
    </rPh>
    <phoneticPr fontId="1"/>
  </si>
  <si>
    <t>日付入力（範囲）</t>
    <rPh sb="0" eb="4">
      <t>ヒヅケニュウリョク</t>
    </rPh>
    <rPh sb="5" eb="7">
      <t>ハンイ</t>
    </rPh>
    <phoneticPr fontId="1"/>
  </si>
  <si>
    <t>ドロップダウンリスト</t>
    <phoneticPr fontId="1"/>
  </si>
  <si>
    <t>ラジオボタン</t>
    <phoneticPr fontId="1"/>
  </si>
  <si>
    <t>チェックボックス</t>
    <phoneticPr fontId="1"/>
  </si>
  <si>
    <t>スクロールバー</t>
    <phoneticPr fontId="1"/>
  </si>
  <si>
    <t>ページナビゲーション</t>
    <phoneticPr fontId="1"/>
  </si>
  <si>
    <t>項目型</t>
    <rPh sb="0" eb="3">
      <t>コウモクカタ</t>
    </rPh>
    <phoneticPr fontId="1"/>
  </si>
  <si>
    <t>I/O区分</t>
    <rPh sb="3" eb="5">
      <t>クブン</t>
    </rPh>
    <phoneticPr fontId="1"/>
  </si>
  <si>
    <t>必須</t>
    <rPh sb="0" eb="2">
      <t>ヒッス</t>
    </rPh>
    <phoneticPr fontId="1"/>
  </si>
  <si>
    <t>入力可否</t>
    <rPh sb="0" eb="2">
      <t>ニュウリョク</t>
    </rPh>
    <rPh sb="2" eb="4">
      <t>カヒ</t>
    </rPh>
    <phoneticPr fontId="1"/>
  </si>
  <si>
    <t>型（機能間引数定義）</t>
    <rPh sb="0" eb="1">
      <t>カタ</t>
    </rPh>
    <rPh sb="2" eb="7">
      <t>キノウカンヒキスウ</t>
    </rPh>
    <rPh sb="7" eb="9">
      <t>テイギ</t>
    </rPh>
    <phoneticPr fontId="1"/>
  </si>
  <si>
    <t>チェック種類</t>
  </si>
  <si>
    <t>整数</t>
    <rPh sb="0" eb="2">
      <t>セイスウ</t>
    </rPh>
    <phoneticPr fontId="1"/>
  </si>
  <si>
    <t>○</t>
    <phoneticPr fontId="1"/>
  </si>
  <si>
    <t>文字列</t>
    <phoneticPr fontId="1"/>
  </si>
  <si>
    <t>エラー</t>
    <phoneticPr fontId="1"/>
  </si>
  <si>
    <t>テキストボックス（数値）</t>
  </si>
  <si>
    <t>整数(ﾏｲﾅｽNG)</t>
    <rPh sb="0" eb="2">
      <t>セイスウ</t>
    </rPh>
    <phoneticPr fontId="1"/>
  </si>
  <si>
    <t>OUT</t>
    <phoneticPr fontId="1"/>
  </si>
  <si>
    <t>×</t>
    <phoneticPr fontId="1"/>
  </si>
  <si>
    <t>数値</t>
    <phoneticPr fontId="1"/>
  </si>
  <si>
    <t>日付ピッカー</t>
  </si>
  <si>
    <t>数値</t>
    <rPh sb="0" eb="2">
      <t>スウチ</t>
    </rPh>
    <phoneticPr fontId="1"/>
  </si>
  <si>
    <t>IN/
OUT</t>
    <phoneticPr fontId="1"/>
  </si>
  <si>
    <t>△</t>
    <phoneticPr fontId="1"/>
  </si>
  <si>
    <t>日付</t>
    <phoneticPr fontId="1"/>
  </si>
  <si>
    <t>数値(ﾏｲﾅｽNG)</t>
    <rPh sb="0" eb="2">
      <t>スウチ</t>
    </rPh>
    <phoneticPr fontId="1"/>
  </si>
  <si>
    <t>真偽値</t>
    <phoneticPr fontId="1"/>
  </si>
  <si>
    <t>ラジオボタン</t>
  </si>
  <si>
    <t>日付</t>
    <rPh sb="0" eb="2">
      <t>ヒヅケ</t>
    </rPh>
    <phoneticPr fontId="4"/>
  </si>
  <si>
    <t>チェックボックス</t>
  </si>
  <si>
    <t>日付(過去NG)</t>
    <rPh sb="0" eb="2">
      <t>ヒヅケ</t>
    </rPh>
    <rPh sb="3" eb="5">
      <t>カコ</t>
    </rPh>
    <phoneticPr fontId="4"/>
  </si>
  <si>
    <t>時間</t>
    <rPh sb="0" eb="2">
      <t>ジカン</t>
    </rPh>
    <phoneticPr fontId="1"/>
  </si>
  <si>
    <t>検索イメージボタン</t>
    <phoneticPr fontId="1"/>
  </si>
  <si>
    <t>設定条件</t>
  </si>
  <si>
    <t>設定条件</t>
    <rPh sb="0" eb="2">
      <t>セッテイ</t>
    </rPh>
    <phoneticPr fontId="1"/>
  </si>
  <si>
    <t>表示条件</t>
    <rPh sb="0" eb="4">
      <t>ヒョウジジョウケン</t>
    </rPh>
    <phoneticPr fontId="1"/>
  </si>
  <si>
    <t>入力可否条件</t>
    <rPh sb="4" eb="6">
      <t>ジョウケン</t>
    </rPh>
    <phoneticPr fontId="1"/>
  </si>
  <si>
    <t>画面遷移定義</t>
    <rPh sb="0" eb="2">
      <t>ガメン</t>
    </rPh>
    <rPh sb="2" eb="4">
      <t>センイ</t>
    </rPh>
    <rPh sb="4" eb="6">
      <t>テイギ</t>
    </rPh>
    <phoneticPr fontId="1"/>
  </si>
  <si>
    <t>001</t>
    <phoneticPr fontId="1"/>
  </si>
  <si>
    <t>002</t>
    <phoneticPr fontId="1"/>
  </si>
  <si>
    <t>画面表示定義</t>
    <rPh sb="0" eb="4">
      <t>ガメンヒョウジ</t>
    </rPh>
    <rPh sb="4" eb="6">
      <t>テイギ</t>
    </rPh>
    <phoneticPr fontId="1"/>
  </si>
  <si>
    <t>設定値</t>
  </si>
  <si>
    <t>会議室検索子画面へ遷移する。</t>
  </si>
  <si>
    <t>会議室検索子画面で選択した会議室情報を画面に表示する。</t>
  </si>
  <si>
    <t>画面遷移定義（No.001）</t>
  </si>
  <si>
    <t>画面遷移No．</t>
  </si>
  <si>
    <t>遷移先画面名</t>
  </si>
  <si>
    <t>会議室検索</t>
  </si>
  <si>
    <t>引数名</t>
  </si>
  <si>
    <t>会議室ID</t>
  </si>
  <si>
    <t>希望順位選択可フラグ</t>
  </si>
  <si>
    <t>画面表示No．</t>
  </si>
  <si>
    <t>画面項目名</t>
  </si>
  <si>
    <t>延長候補会議室テキストボックス</t>
    <phoneticPr fontId="1"/>
  </si>
  <si>
    <t>画面表示定義（No.001）</t>
    <phoneticPr fontId="1"/>
  </si>
  <si>
    <t>画面表示定義（No.002）</t>
    <phoneticPr fontId="1"/>
  </si>
  <si>
    <t>会議室マスタ．会議室名</t>
    <phoneticPr fontId="1"/>
  </si>
  <si>
    <t>タブレット管理マスタ．タブレット端末ID</t>
    <rPh sb="5" eb="7">
      <t>カンリ</t>
    </rPh>
    <rPh sb="16" eb="18">
      <t>タンマツ</t>
    </rPh>
    <phoneticPr fontId="1"/>
  </si>
  <si>
    <t>延長候補会議室テキストボックス</t>
    <rPh sb="0" eb="7">
      <t>エンチョウコウホカイギシツ</t>
    </rPh>
    <phoneticPr fontId="1"/>
  </si>
  <si>
    <t>取得したデータを画面に表示する。
※データが取得できない場合は値をクリアする。</t>
    <rPh sb="22" eb="24">
      <t>シュトク</t>
    </rPh>
    <rPh sb="28" eb="30">
      <t>バアイ</t>
    </rPh>
    <rPh sb="31" eb="32">
      <t>アタイ</t>
    </rPh>
    <phoneticPr fontId="1"/>
  </si>
  <si>
    <t>データアクセス定義（UPDATE_001）</t>
    <rPh sb="7" eb="9">
      <t>テイギ</t>
    </rPh>
    <phoneticPr fontId="1"/>
  </si>
  <si>
    <t>取得項目</t>
    <rPh sb="0" eb="4">
      <t>シュトクコウモク</t>
    </rPh>
    <phoneticPr fontId="1"/>
  </si>
  <si>
    <t>会議室マスタの全項目</t>
    <rPh sb="0" eb="3">
      <t>カイギシツ</t>
    </rPh>
    <rPh sb="7" eb="10">
      <t>ゼンコウモク</t>
    </rPh>
    <phoneticPr fontId="1"/>
  </si>
  <si>
    <t>一括予約一覧</t>
    <rPh sb="0" eb="2">
      <t>イッカツ</t>
    </rPh>
    <rPh sb="2" eb="4">
      <t>ヨヤク</t>
    </rPh>
    <rPh sb="4" eb="6">
      <t>イチラン</t>
    </rPh>
    <phoneticPr fontId="1"/>
  </si>
  <si>
    <t>実行タイミング</t>
    <rPh sb="0" eb="2">
      <t>ジッコウ</t>
    </rPh>
    <phoneticPr fontId="5"/>
  </si>
  <si>
    <t>タブレット端末IDテキストボックス</t>
    <rPh sb="5" eb="7">
      <t>タンマツ</t>
    </rPh>
    <phoneticPr fontId="1"/>
  </si>
  <si>
    <t>入力した延長候補会議室に紐づく会議室ID</t>
    <rPh sb="4" eb="8">
      <t>エンチョウコウホ</t>
    </rPh>
    <phoneticPr fontId="1"/>
  </si>
  <si>
    <t>1.01</t>
    <phoneticPr fontId="1"/>
  </si>
  <si>
    <t>SRO 牟禮</t>
    <rPh sb="4" eb="6">
      <t>ムレ</t>
    </rPh>
    <phoneticPr fontId="1"/>
  </si>
  <si>
    <t>詳細設計工程
・データアクセス定義
　APIの保守性向上のため、
　SELECT_002の取得項目にタブレット延長候補会議室マスタの全項目を追加</t>
    <rPh sb="15" eb="17">
      <t>テイギ</t>
    </rPh>
    <rPh sb="23" eb="28">
      <t>ホシュセイコウジョウ</t>
    </rPh>
    <rPh sb="45" eb="49">
      <t>シュトクコウモク</t>
    </rPh>
    <rPh sb="70" eb="72">
      <t>ツイカ</t>
    </rPh>
    <phoneticPr fontId="1"/>
  </si>
  <si>
    <t>※画面の検索項目（画面．XXX）による抽出条件は原則「【RAS】画面共通仕様説明書.xlsx」に従い、本シートでは一律"＝"を使用して表現する。</t>
    <rPh sb="9" eb="11">
      <t>ガメン</t>
    </rPh>
    <rPh sb="19" eb="21">
      <t>チュウシュツ</t>
    </rPh>
    <phoneticPr fontId="1"/>
  </si>
  <si>
    <t xml:space="preserve">タブレット管理マスタの全項目
タブレット延長候補会議室マスタの全項目
会議室マスタの全項目
</t>
    <rPh sb="5" eb="7">
      <t>カンリ</t>
    </rPh>
    <rPh sb="11" eb="14">
      <t>ゼンコウモク</t>
    </rPh>
    <rPh sb="31" eb="34">
      <t>ゼンコウモク</t>
    </rPh>
    <rPh sb="35" eb="38">
      <t>カイギシツ</t>
    </rPh>
    <rPh sb="42" eb="45">
      <t>ゼンコウモク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</si>
</sst>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游ゴシック"/>
      <family val="2"/>
      <charset val="128"/>
      <scheme val="minor"/>
    </font>
    <font>
      <sz val="6"/>
      <name val="游ゴシック"/>
      <family val="2"/>
      <charset val="128"/>
      <scheme val="minor"/>
    </font>
    <font>
      <sz val="11"/>
      <name val="Meiryo UI"/>
      <family val="3"/>
      <charset val="128"/>
    </font>
    <font>
      <b/>
      <sz val="11"/>
      <name val="Meiryo UI"/>
      <family val="3"/>
      <charset val="128"/>
    </font>
    <font>
      <b/>
      <sz val="36"/>
      <name val="Meiryo UI"/>
      <family val="3"/>
      <charset val="128"/>
    </font>
    <font>
      <b/>
      <sz val="20"/>
      <name val="Meiryo UI"/>
      <family val="3"/>
      <charset val="128"/>
    </font>
    <font>
      <sz val="11"/>
      <color theme="1"/>
      <name val="Meiryo UI"/>
      <family val="3"/>
      <charset val="128"/>
    </font>
    <font>
      <b/>
      <sz val="11"/>
      <color theme="1"/>
      <name val="Meiryo UI"/>
      <family val="3"/>
      <charset val="128"/>
    </font>
    <font>
      <sz val="11"/>
      <color theme="1"/>
      <name val="游ゴシック"/>
      <family val="2"/>
      <charset val="128"/>
      <scheme val="minor"/>
    </font>
    <font>
      <sz val="11"/>
      <color theme="0"/>
      <name val="Meiryo UI"/>
      <family val="3"/>
      <charset val="128"/>
    </font>
    <font>
      <b/>
      <sz val="16"/>
      <color theme="1"/>
      <name val="Meiryo UI"/>
      <family val="3"/>
      <charset val="128"/>
    </font>
    <font>
      <sz val="10"/>
      <color theme="1"/>
      <name val="Meiryo UI"/>
      <family val="3"/>
      <charset val="128"/>
    </font>
    <font>
      <sz val="10"/>
      <name val="Meiryo UI"/>
      <family val="3"/>
      <charset val="128"/>
    </font>
    <font>
      <sz val="6"/>
      <name val="ＭＳ Ｐゴシック"/>
      <family val="3"/>
      <charset val="128"/>
    </font>
    <font>
      <sz val="9"/>
      <name val="Meiryo UI"/>
      <family val="3"/>
      <charset val="128"/>
    </font>
    <font>
      <b/>
      <u/>
      <sz val="11"/>
      <color theme="1"/>
      <name val="Meiryo UI"/>
      <family val="3"/>
      <charset val="128"/>
    </font>
    <font>
      <sz val="10"/>
      <color theme="0"/>
      <name val="Meiryo UI"/>
      <family val="3"/>
      <charset val="128"/>
    </font>
    <font>
      <sz val="11"/>
      <color rgb="FFFF0000"/>
      <name val="Meiryo UI"/>
      <family val="3"/>
      <charset val="128"/>
    </font>
    <font>
      <sz val="11"/>
      <color rgb="FF000000"/>
      <name val="Meiryo UI"/>
      <family val="3"/>
      <charset val="128"/>
    </font>
    <font>
      <b/>
      <u/>
      <sz val="16"/>
      <name val="Meiryo UI"/>
      <family val="3"/>
      <charset val="128"/>
    </font>
    <font>
      <b/>
      <u/>
      <sz val="16"/>
      <color theme="1"/>
      <name val="Meiryo UI"/>
      <family val="3"/>
      <charset val="128"/>
    </font>
    <font>
      <b/>
      <sz val="11"/>
      <color rgb="FF000000"/>
      <name val="Meiryo UI"/>
      <family val="3"/>
      <charset val="128"/>
    </font>
    <font>
      <b/>
      <u/>
      <sz val="11"/>
      <name val="Meiryo UI"/>
      <family val="3"/>
      <charset val="128"/>
    </font>
    <font>
      <sz val="9"/>
      <color theme="1"/>
      <name val="Meiryo UI"/>
      <family val="3"/>
      <charset val="128"/>
    </font>
  </fonts>
  <fills count="12">
    <fill>
      <patternFill patternType="none"/>
    </fill>
    <fill>
      <patternFill patternType="gray125"/>
    </fill>
    <fill>
      <patternFill patternType="solid">
        <fgColor rgb="FFC0C0C0"/>
        <bgColor rgb="FF000000"/>
      </patternFill>
    </fill>
    <fill>
      <patternFill patternType="solid">
        <fgColor theme="0" tint="-0.14999847407452621"/>
        <bgColor indexed="64"/>
      </patternFill>
    </fill>
    <fill>
      <patternFill patternType="solid">
        <fgColor rgb="FF66FFFF"/>
        <bgColor indexed="64"/>
      </patternFill>
    </fill>
    <fill>
      <patternFill patternType="solid">
        <fgColor theme="4"/>
        <bgColor indexed="64"/>
      </patternFill>
    </fill>
    <fill>
      <patternFill patternType="solid">
        <fgColor theme="0"/>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rgb="FF66CCFF"/>
        <bgColor indexed="64"/>
      </patternFill>
    </fill>
    <fill>
      <patternFill patternType="solid">
        <fgColor rgb="FF61CBF3"/>
        <bgColor rgb="FF000000"/>
      </patternFill>
    </fill>
    <fill>
      <patternFill patternType="solid">
        <fgColor rgb="FFCAEDFB"/>
        <bgColor rgb="FF000000"/>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theme="0" tint="-4.9989318521683403E-2"/>
      </top>
      <bottom style="medium">
        <color theme="0" tint="-4.9989318521683403E-2"/>
      </bottom>
      <diagonal/>
    </border>
    <border>
      <left/>
      <right/>
      <top style="medium">
        <color theme="0" tint="-4.9989318521683403E-2"/>
      </top>
      <bottom style="medium">
        <color theme="0" tint="-4.9989318521683403E-2"/>
      </bottom>
      <diagonal/>
    </border>
  </borders>
  <cellStyleXfs count="2">
    <xf numFmtId="0" fontId="0" fillId="0" borderId="0">
      <alignment vertical="center"/>
    </xf>
    <xf numFmtId="0" fontId="8" fillId="0" borderId="0">
      <alignment vertical="center"/>
    </xf>
  </cellStyleXfs>
  <cellXfs count="172">
    <xf numFmtId="0" fontId="0" fillId="0" borderId="0" xfId="0">
      <alignment vertical="center"/>
    </xf>
    <xf numFmtId="0" fontId="2" fillId="0" borderId="0" xfId="0" applyFont="1">
      <alignment vertical="center"/>
    </xf>
    <xf numFmtId="0" fontId="2" fillId="2" borderId="0" xfId="0" applyFont="1" applyFill="1">
      <alignment vertical="center"/>
    </xf>
    <xf numFmtId="0" fontId="6" fillId="0" borderId="0" xfId="0" applyFont="1">
      <alignment vertical="center"/>
    </xf>
    <xf numFmtId="0" fontId="2" fillId="0" borderId="0" xfId="0" applyFont="1" applyAlignment="1">
      <alignment horizontal="center" vertical="center"/>
    </xf>
    <xf numFmtId="0" fontId="6" fillId="0" borderId="8" xfId="0" applyFont="1" applyBorder="1">
      <alignment vertical="center"/>
    </xf>
    <xf numFmtId="0" fontId="6" fillId="0" borderId="9" xfId="0" applyFont="1" applyBorder="1">
      <alignment vertical="center"/>
    </xf>
    <xf numFmtId="0" fontId="6" fillId="0" borderId="10" xfId="0" applyFont="1" applyBorder="1">
      <alignment vertical="center"/>
    </xf>
    <xf numFmtId="0" fontId="6" fillId="0" borderId="11" xfId="0" applyFont="1" applyBorder="1">
      <alignment vertical="center"/>
    </xf>
    <xf numFmtId="0" fontId="6" fillId="0" borderId="12" xfId="0" applyFont="1" applyBorder="1">
      <alignment vertical="center"/>
    </xf>
    <xf numFmtId="0" fontId="6" fillId="0" borderId="13" xfId="0" applyFont="1" applyBorder="1">
      <alignment vertical="center"/>
    </xf>
    <xf numFmtId="0" fontId="6" fillId="0" borderId="14" xfId="0" applyFont="1" applyBorder="1">
      <alignment vertical="center"/>
    </xf>
    <xf numFmtId="0" fontId="6" fillId="0" borderId="15" xfId="0" applyFont="1" applyBorder="1">
      <alignment vertical="center"/>
    </xf>
    <xf numFmtId="0" fontId="6" fillId="3" borderId="17" xfId="0" applyFont="1" applyFill="1" applyBorder="1">
      <alignment vertical="center"/>
    </xf>
    <xf numFmtId="0" fontId="6" fillId="3" borderId="18" xfId="0" applyFont="1" applyFill="1" applyBorder="1">
      <alignment vertical="center"/>
    </xf>
    <xf numFmtId="0" fontId="6" fillId="6" borderId="0" xfId="0" applyFont="1" applyFill="1">
      <alignment vertical="center"/>
    </xf>
    <xf numFmtId="0" fontId="6" fillId="3" borderId="20" xfId="0" applyFont="1" applyFill="1" applyBorder="1">
      <alignment vertical="center"/>
    </xf>
    <xf numFmtId="0" fontId="11" fillId="6" borderId="0" xfId="0" applyFont="1" applyFill="1">
      <alignment vertical="center"/>
    </xf>
    <xf numFmtId="0" fontId="11" fillId="0" borderId="0" xfId="0" applyFont="1">
      <alignment vertical="center"/>
    </xf>
    <xf numFmtId="0" fontId="6" fillId="3" borderId="22" xfId="0" applyFont="1" applyFill="1" applyBorder="1">
      <alignment vertical="center"/>
    </xf>
    <xf numFmtId="0" fontId="9" fillId="3" borderId="22" xfId="0" applyFont="1" applyFill="1" applyBorder="1">
      <alignment vertical="center"/>
    </xf>
    <xf numFmtId="0" fontId="6" fillId="3" borderId="23" xfId="0" applyFont="1" applyFill="1" applyBorder="1">
      <alignment vertical="center"/>
    </xf>
    <xf numFmtId="0" fontId="6" fillId="0" borderId="1" xfId="0" applyFont="1" applyBorder="1">
      <alignment vertical="center"/>
    </xf>
    <xf numFmtId="0" fontId="7" fillId="0" borderId="0" xfId="0" applyFont="1">
      <alignment vertical="center"/>
    </xf>
    <xf numFmtId="0" fontId="2" fillId="6" borderId="0" xfId="0" applyFont="1" applyFill="1">
      <alignment vertical="center"/>
    </xf>
    <xf numFmtId="0" fontId="12" fillId="0" borderId="0" xfId="0" applyFont="1">
      <alignment vertical="center"/>
    </xf>
    <xf numFmtId="0" fontId="2" fillId="0" borderId="11" xfId="0" applyFont="1" applyBorder="1">
      <alignment vertical="center"/>
    </xf>
    <xf numFmtId="0" fontId="6" fillId="0" borderId="1" xfId="0" applyFont="1" applyBorder="1" applyAlignment="1">
      <alignment horizontal="center" vertical="center"/>
    </xf>
    <xf numFmtId="0" fontId="0" fillId="0" borderId="0" xfId="0" applyAlignment="1">
      <alignment vertical="center" wrapText="1"/>
    </xf>
    <xf numFmtId="0" fontId="6" fillId="7" borderId="1" xfId="0" applyFont="1" applyFill="1" applyBorder="1" applyAlignment="1">
      <alignment horizontal="center" vertical="center"/>
    </xf>
    <xf numFmtId="0" fontId="6" fillId="0" borderId="1" xfId="0" applyFont="1" applyBorder="1" applyAlignment="1">
      <alignment horizontal="center" vertical="center" wrapText="1"/>
    </xf>
    <xf numFmtId="0" fontId="7" fillId="7" borderId="1" xfId="0" applyFont="1" applyFill="1" applyBorder="1" applyAlignment="1">
      <alignment horizontal="center" vertical="center"/>
    </xf>
    <xf numFmtId="0" fontId="7" fillId="7" borderId="1" xfId="0" applyFont="1" applyFill="1" applyBorder="1" applyAlignment="1">
      <alignment horizontal="center" vertical="center" wrapText="1"/>
    </xf>
    <xf numFmtId="0" fontId="7" fillId="7" borderId="1" xfId="0" applyFont="1" applyFill="1" applyBorder="1">
      <alignment vertical="center"/>
    </xf>
    <xf numFmtId="0" fontId="7" fillId="8" borderId="1" xfId="0" applyFont="1" applyFill="1" applyBorder="1">
      <alignment vertical="center"/>
    </xf>
    <xf numFmtId="0" fontId="14" fillId="0" borderId="0" xfId="0" applyFont="1">
      <alignment vertical="center"/>
    </xf>
    <xf numFmtId="0" fontId="6" fillId="7" borderId="28" xfId="0" applyFont="1" applyFill="1" applyBorder="1" applyAlignment="1">
      <alignment horizontal="center" vertical="center"/>
    </xf>
    <xf numFmtId="0" fontId="6" fillId="0" borderId="29" xfId="0" applyFont="1" applyBorder="1" applyAlignment="1">
      <alignment horizontal="left" vertical="top" wrapText="1"/>
    </xf>
    <xf numFmtId="0" fontId="6" fillId="6" borderId="0" xfId="0" applyFont="1" applyFill="1" applyAlignment="1">
      <alignment horizontal="center" vertical="center" wrapText="1"/>
    </xf>
    <xf numFmtId="0" fontId="10" fillId="6" borderId="0" xfId="0" applyFont="1" applyFill="1">
      <alignment vertical="center"/>
    </xf>
    <xf numFmtId="0" fontId="6" fillId="3" borderId="0" xfId="0" applyFont="1" applyFill="1" applyAlignment="1">
      <alignment horizontal="center" vertical="center" wrapText="1"/>
    </xf>
    <xf numFmtId="0" fontId="10" fillId="3" borderId="0" xfId="0" applyFont="1" applyFill="1">
      <alignment vertical="center"/>
    </xf>
    <xf numFmtId="0" fontId="6" fillId="3" borderId="0" xfId="0" applyFont="1" applyFill="1">
      <alignment vertical="center"/>
    </xf>
    <xf numFmtId="0" fontId="6" fillId="0" borderId="1" xfId="0" quotePrefix="1" applyFont="1" applyBorder="1" applyAlignment="1">
      <alignment horizontal="center" vertical="center" wrapText="1"/>
    </xf>
    <xf numFmtId="0" fontId="6" fillId="0" borderId="1" xfId="0" applyFont="1" applyBorder="1" applyAlignment="1">
      <alignment horizontal="left" vertical="center"/>
    </xf>
    <xf numFmtId="0" fontId="6" fillId="0" borderId="12" xfId="0" applyFont="1" applyBorder="1" applyAlignment="1">
      <alignment horizontal="left" vertical="top" wrapText="1"/>
    </xf>
    <xf numFmtId="0" fontId="6" fillId="0" borderId="1" xfId="0" applyFont="1" applyBorder="1" applyAlignment="1">
      <alignment horizontal="left" vertical="center" wrapText="1"/>
    </xf>
    <xf numFmtId="0" fontId="9" fillId="3" borderId="17" xfId="0" applyFont="1" applyFill="1" applyBorder="1">
      <alignment vertical="center"/>
    </xf>
    <xf numFmtId="0" fontId="9" fillId="5" borderId="30" xfId="0" applyFont="1" applyFill="1" applyBorder="1">
      <alignment vertical="center"/>
    </xf>
    <xf numFmtId="0" fontId="16" fillId="5" borderId="31" xfId="0" applyFont="1" applyFill="1" applyBorder="1">
      <alignment vertical="center"/>
    </xf>
    <xf numFmtId="0" fontId="9" fillId="5" borderId="31" xfId="0" applyFont="1" applyFill="1" applyBorder="1">
      <alignment vertical="center"/>
    </xf>
    <xf numFmtId="0" fontId="9" fillId="5" borderId="25" xfId="0" applyFont="1" applyFill="1" applyBorder="1" applyAlignment="1">
      <alignment horizontal="left" vertical="center"/>
    </xf>
    <xf numFmtId="0" fontId="6" fillId="0" borderId="25" xfId="0" applyFont="1" applyBorder="1">
      <alignment vertical="center"/>
    </xf>
    <xf numFmtId="0" fontId="9" fillId="5" borderId="19" xfId="0" applyFont="1" applyFill="1" applyBorder="1">
      <alignment vertical="center"/>
    </xf>
    <xf numFmtId="0" fontId="9" fillId="5" borderId="0" xfId="0" applyFont="1" applyFill="1">
      <alignment vertical="center"/>
    </xf>
    <xf numFmtId="0" fontId="9" fillId="5" borderId="19" xfId="0" applyFont="1" applyFill="1" applyBorder="1" applyAlignment="1">
      <alignment horizontal="center" vertical="center"/>
    </xf>
    <xf numFmtId="0" fontId="9" fillId="5" borderId="0" xfId="0" applyFont="1" applyFill="1" applyAlignment="1">
      <alignment horizontal="center" vertical="center"/>
    </xf>
    <xf numFmtId="0" fontId="9" fillId="5" borderId="21" xfId="0" applyFont="1" applyFill="1" applyBorder="1">
      <alignment vertical="center"/>
    </xf>
    <xf numFmtId="0" fontId="9" fillId="5" borderId="22" xfId="0" applyFont="1" applyFill="1" applyBorder="1" applyAlignment="1">
      <alignment horizontal="center" vertical="center"/>
    </xf>
    <xf numFmtId="0" fontId="9" fillId="5" borderId="22" xfId="0" applyFont="1" applyFill="1" applyBorder="1">
      <alignment vertical="center"/>
    </xf>
    <xf numFmtId="0" fontId="6" fillId="0" borderId="29" xfId="0" applyFont="1" applyBorder="1" applyAlignment="1">
      <alignment horizontal="left" vertical="top"/>
    </xf>
    <xf numFmtId="0" fontId="6" fillId="0" borderId="28" xfId="0" applyFont="1" applyBorder="1" applyAlignment="1">
      <alignment horizontal="left" vertical="top"/>
    </xf>
    <xf numFmtId="0" fontId="6" fillId="0" borderId="13" xfId="0" applyFont="1" applyBorder="1" applyAlignment="1">
      <alignment horizontal="left" vertical="top"/>
    </xf>
    <xf numFmtId="0" fontId="6" fillId="0" borderId="11" xfId="0" applyFont="1" applyBorder="1" applyAlignment="1">
      <alignment horizontal="left" vertical="top"/>
    </xf>
    <xf numFmtId="0" fontId="6" fillId="0" borderId="15" xfId="0" applyFont="1" applyBorder="1" applyAlignment="1">
      <alignment horizontal="left" vertical="top"/>
    </xf>
    <xf numFmtId="0" fontId="6" fillId="0" borderId="1" xfId="0" quotePrefix="1" applyFont="1" applyBorder="1" applyAlignment="1">
      <alignment horizontal="left" vertical="center" wrapText="1"/>
    </xf>
    <xf numFmtId="0" fontId="7" fillId="9" borderId="1" xfId="0" applyFont="1" applyFill="1" applyBorder="1">
      <alignment vertical="center"/>
    </xf>
    <xf numFmtId="0" fontId="6" fillId="0" borderId="0" xfId="0" applyFont="1" applyAlignment="1">
      <alignment vertical="top"/>
    </xf>
    <xf numFmtId="0" fontId="18" fillId="0" borderId="12" xfId="0" applyFont="1" applyBorder="1" applyAlignment="1">
      <alignment horizontal="left" vertical="top" wrapText="1"/>
    </xf>
    <xf numFmtId="0" fontId="18" fillId="0" borderId="15" xfId="0" applyFont="1" applyBorder="1" applyAlignment="1">
      <alignment horizontal="left" vertical="top" wrapText="1"/>
    </xf>
    <xf numFmtId="0" fontId="19" fillId="0" borderId="0" xfId="0" applyFont="1">
      <alignment vertical="center"/>
    </xf>
    <xf numFmtId="0" fontId="15" fillId="0" borderId="0" xfId="0" applyFont="1">
      <alignment vertical="center"/>
    </xf>
    <xf numFmtId="0" fontId="10" fillId="0" borderId="9" xfId="0" applyFont="1" applyBorder="1">
      <alignment vertical="center"/>
    </xf>
    <xf numFmtId="0" fontId="7" fillId="0" borderId="9" xfId="0" applyFont="1" applyBorder="1">
      <alignment vertical="center"/>
    </xf>
    <xf numFmtId="0" fontId="6" fillId="0" borderId="0" xfId="0" applyFont="1" applyAlignment="1">
      <alignment horizontal="left" vertical="center"/>
    </xf>
    <xf numFmtId="0" fontId="6" fillId="0" borderId="0" xfId="0" applyFont="1" applyAlignment="1">
      <alignment horizontal="left" vertical="top"/>
    </xf>
    <xf numFmtId="0" fontId="15" fillId="0" borderId="0" xfId="0" applyFont="1" applyAlignment="1">
      <alignment horizontal="left" vertical="center"/>
    </xf>
    <xf numFmtId="0" fontId="17" fillId="0" borderId="1" xfId="0" applyFont="1" applyBorder="1">
      <alignment vertical="center"/>
    </xf>
    <xf numFmtId="0" fontId="18" fillId="0" borderId="1" xfId="0" applyFont="1" applyBorder="1" applyAlignment="1">
      <alignment horizontal="left" vertical="center" wrapText="1"/>
    </xf>
    <xf numFmtId="0" fontId="2" fillId="0" borderId="1" xfId="0" applyFont="1" applyBorder="1" applyAlignment="1">
      <alignment horizontal="left" vertical="center" wrapText="1"/>
    </xf>
    <xf numFmtId="0" fontId="18" fillId="0" borderId="1" xfId="0" applyFont="1" applyBorder="1">
      <alignment vertical="center"/>
    </xf>
    <xf numFmtId="0" fontId="18" fillId="0" borderId="1" xfId="0" quotePrefix="1" applyFont="1" applyBorder="1" applyAlignment="1">
      <alignment horizontal="center" vertical="center"/>
    </xf>
    <xf numFmtId="0" fontId="18" fillId="0" borderId="1" xfId="0" applyFont="1" applyBorder="1" applyAlignment="1">
      <alignment horizontal="center" vertical="center"/>
    </xf>
    <xf numFmtId="0" fontId="18" fillId="0" borderId="0" xfId="0" applyFont="1">
      <alignment vertical="center"/>
    </xf>
    <xf numFmtId="0" fontId="20" fillId="0" borderId="0" xfId="0" applyFont="1">
      <alignment vertical="center"/>
    </xf>
    <xf numFmtId="0" fontId="21" fillId="10" borderId="1" xfId="0" applyFont="1" applyFill="1" applyBorder="1">
      <alignment vertical="center"/>
    </xf>
    <xf numFmtId="0" fontId="18" fillId="11" borderId="1" xfId="0" applyFont="1" applyFill="1" applyBorder="1" applyAlignment="1">
      <alignment horizontal="center" vertical="center"/>
    </xf>
    <xf numFmtId="0" fontId="18" fillId="0" borderId="1" xfId="0" applyFont="1" applyBorder="1" applyAlignment="1">
      <alignment horizontal="left" vertical="top" wrapText="1"/>
    </xf>
    <xf numFmtId="0" fontId="18" fillId="0" borderId="1" xfId="0" applyFont="1" applyBorder="1" applyAlignment="1">
      <alignment horizontal="left" vertical="center"/>
    </xf>
    <xf numFmtId="0" fontId="2" fillId="0" borderId="29" xfId="0" applyFont="1" applyBorder="1" applyAlignment="1">
      <alignment horizontal="left" vertical="top" wrapText="1"/>
    </xf>
    <xf numFmtId="0" fontId="18" fillId="0" borderId="29" xfId="0" applyFont="1" applyBorder="1" applyAlignment="1">
      <alignment horizontal="left" vertical="top" wrapText="1"/>
    </xf>
    <xf numFmtId="0" fontId="2" fillId="0" borderId="12" xfId="0" applyFont="1" applyBorder="1" applyAlignment="1">
      <alignment horizontal="left" vertical="top" wrapText="1"/>
    </xf>
    <xf numFmtId="0" fontId="22" fillId="0" borderId="0" xfId="0" applyFont="1">
      <alignment vertical="center"/>
    </xf>
    <xf numFmtId="0" fontId="23" fillId="0" borderId="0" xfId="0" applyFont="1">
      <alignment vertical="center"/>
    </xf>
    <xf numFmtId="0" fontId="2" fillId="0" borderId="0" xfId="0" applyFont="1">
      <alignment vertical="center"/>
    </xf>
    <xf numFmtId="0" fontId="2" fillId="2" borderId="0" xfId="0" applyFont="1" applyFill="1">
      <alignment vertical="center"/>
    </xf>
    <xf numFmtId="0" fontId="5" fillId="0" borderId="0" xfId="0" applyFont="1" applyAlignment="1">
      <alignment horizontal="center" vertical="center" wrapText="1"/>
    </xf>
    <xf numFmtId="0" fontId="4" fillId="0" borderId="0" xfId="0" applyFont="1" applyAlignment="1">
      <alignment horizontal="center" vertical="center" shrinkToFi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vertical="center" wrapText="1"/>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4" borderId="6" xfId="0" applyFont="1" applyFill="1" applyBorder="1" applyAlignment="1">
      <alignment horizontal="center" vertical="center"/>
    </xf>
    <xf numFmtId="0" fontId="6" fillId="4" borderId="3" xfId="0" applyFont="1" applyFill="1" applyBorder="1" applyAlignment="1">
      <alignment horizontal="center" vertical="center"/>
    </xf>
    <xf numFmtId="0" fontId="7" fillId="0" borderId="6" xfId="0" applyFont="1" applyBorder="1" applyAlignment="1">
      <alignment horizontal="center" vertical="center" shrinkToFit="1"/>
    </xf>
    <xf numFmtId="0" fontId="7" fillId="0" borderId="3" xfId="0" applyFont="1" applyBorder="1" applyAlignment="1">
      <alignment horizontal="center" vertical="center" shrinkToFit="1"/>
    </xf>
    <xf numFmtId="14" fontId="6" fillId="0" borderId="6" xfId="0" applyNumberFormat="1" applyFont="1" applyBorder="1" applyAlignment="1">
      <alignment horizontal="center" vertical="center"/>
    </xf>
    <xf numFmtId="14" fontId="6" fillId="0" borderId="7" xfId="0" applyNumberFormat="1" applyFont="1" applyBorder="1" applyAlignment="1">
      <alignment horizontal="center" vertical="center"/>
    </xf>
    <xf numFmtId="0" fontId="3" fillId="3" borderId="1" xfId="0" applyFont="1" applyFill="1" applyBorder="1" applyAlignment="1">
      <alignment horizontal="center" vertical="center"/>
    </xf>
    <xf numFmtId="49" fontId="6" fillId="0" borderId="3" xfId="0" applyNumberFormat="1" applyFont="1" applyBorder="1" applyAlignment="1">
      <alignment horizontal="center" vertical="center"/>
    </xf>
    <xf numFmtId="14" fontId="6" fillId="0" borderId="3" xfId="0" applyNumberFormat="1" applyFont="1" applyBorder="1" applyAlignment="1">
      <alignment horizontal="center" vertical="center"/>
    </xf>
    <xf numFmtId="14" fontId="6" fillId="0" borderId="4" xfId="0" applyNumberFormat="1" applyFont="1" applyBorder="1" applyAlignment="1">
      <alignment horizontal="center" vertical="center"/>
    </xf>
    <xf numFmtId="49" fontId="2" fillId="0" borderId="1" xfId="0" applyNumberFormat="1" applyFont="1" applyBorder="1" applyAlignment="1">
      <alignment horizontal="center" vertical="center"/>
    </xf>
    <xf numFmtId="0" fontId="6" fillId="7" borderId="1" xfId="0" applyFont="1" applyFill="1" applyBorder="1" applyAlignment="1">
      <alignment horizontal="center" vertical="center"/>
    </xf>
    <xf numFmtId="0" fontId="6" fillId="7" borderId="27" xfId="0" applyFont="1" applyFill="1" applyBorder="1" applyAlignment="1">
      <alignment horizontal="center" vertical="center"/>
    </xf>
    <xf numFmtId="0" fontId="6" fillId="7" borderId="28" xfId="0" applyFont="1" applyFill="1" applyBorder="1" applyAlignment="1">
      <alignment horizontal="center" vertical="center"/>
    </xf>
    <xf numFmtId="0" fontId="7" fillId="7" borderId="27" xfId="0" applyFont="1" applyFill="1" applyBorder="1" applyAlignment="1">
      <alignment horizontal="center" vertical="center" wrapText="1"/>
    </xf>
    <xf numFmtId="0" fontId="7" fillId="7" borderId="28" xfId="0" applyFont="1" applyFill="1" applyBorder="1" applyAlignment="1">
      <alignment horizontal="center" vertical="center" wrapText="1"/>
    </xf>
    <xf numFmtId="0" fontId="7" fillId="7" borderId="1" xfId="0" applyFont="1" applyFill="1" applyBorder="1" applyAlignment="1">
      <alignment horizontal="center" vertical="center"/>
    </xf>
    <xf numFmtId="0" fontId="6" fillId="0" borderId="11" xfId="0" applyFont="1" applyBorder="1" applyAlignment="1">
      <alignment horizontal="left" vertical="top"/>
    </xf>
    <xf numFmtId="0" fontId="6" fillId="0" borderId="27" xfId="0" applyFont="1" applyBorder="1" applyAlignment="1">
      <alignment horizontal="left" vertical="top" wrapText="1"/>
    </xf>
    <xf numFmtId="0" fontId="6" fillId="0" borderId="29" xfId="0" applyFont="1" applyBorder="1" applyAlignment="1">
      <alignment horizontal="left" vertical="top" wrapText="1"/>
    </xf>
    <xf numFmtId="0" fontId="6" fillId="0" borderId="28" xfId="0" applyFont="1" applyBorder="1" applyAlignment="1">
      <alignment horizontal="left" vertical="top" wrapText="1"/>
    </xf>
    <xf numFmtId="0" fontId="6" fillId="0" borderId="29" xfId="0" applyFont="1" applyBorder="1" applyAlignment="1">
      <alignment horizontal="center" vertical="center"/>
    </xf>
    <xf numFmtId="0" fontId="6" fillId="0" borderId="28" xfId="0" applyFont="1" applyBorder="1" applyAlignment="1">
      <alignment horizontal="center" vertical="center"/>
    </xf>
    <xf numFmtId="49" fontId="18" fillId="0" borderId="24" xfId="0" applyNumberFormat="1" applyFont="1" applyBorder="1" applyAlignment="1">
      <alignment horizontal="left" vertical="center"/>
    </xf>
    <xf numFmtId="49" fontId="18" fillId="0" borderId="26" xfId="0" applyNumberFormat="1" applyFont="1" applyBorder="1" applyAlignment="1">
      <alignment horizontal="left" vertical="center"/>
    </xf>
    <xf numFmtId="0" fontId="18" fillId="0" borderId="24" xfId="0" applyFont="1" applyBorder="1" applyAlignment="1">
      <alignment horizontal="left" vertical="center"/>
    </xf>
    <xf numFmtId="0" fontId="18" fillId="0" borderId="26" xfId="0" applyFont="1" applyBorder="1" applyAlignment="1">
      <alignment horizontal="left" vertical="center"/>
    </xf>
    <xf numFmtId="0" fontId="6" fillId="7" borderId="1" xfId="0" applyFont="1" applyFill="1" applyBorder="1" applyAlignment="1">
      <alignment horizontal="center" vertical="top"/>
    </xf>
    <xf numFmtId="0" fontId="6" fillId="0" borderId="1" xfId="0" applyFont="1" applyBorder="1" applyAlignment="1">
      <alignment horizontal="left" vertical="top"/>
    </xf>
    <xf numFmtId="0" fontId="6" fillId="0" borderId="24" xfId="0" applyFont="1" applyBorder="1" applyAlignment="1">
      <alignment horizontal="left" vertical="top" wrapText="1"/>
    </xf>
    <xf numFmtId="0" fontId="6" fillId="0" borderId="26" xfId="0" applyFont="1" applyBorder="1" applyAlignment="1">
      <alignment horizontal="left" vertical="top" wrapText="1"/>
    </xf>
    <xf numFmtId="0" fontId="18" fillId="0" borderId="24" xfId="0" applyFont="1" applyBorder="1" applyAlignment="1">
      <alignment horizontal="left" vertical="top"/>
    </xf>
    <xf numFmtId="0" fontId="18" fillId="0" borderId="26" xfId="0" applyFont="1" applyBorder="1" applyAlignment="1">
      <alignment horizontal="left" vertical="top"/>
    </xf>
    <xf numFmtId="0" fontId="18" fillId="7" borderId="24" xfId="0" applyFont="1" applyFill="1" applyBorder="1" applyAlignment="1">
      <alignment horizontal="center" vertical="top"/>
    </xf>
    <xf numFmtId="0" fontId="18" fillId="7" borderId="25" xfId="0" applyFont="1" applyFill="1" applyBorder="1" applyAlignment="1">
      <alignment horizontal="center" vertical="top"/>
    </xf>
    <xf numFmtId="0" fontId="18" fillId="7" borderId="26" xfId="0" applyFont="1" applyFill="1" applyBorder="1" applyAlignment="1">
      <alignment horizontal="center" vertical="top"/>
    </xf>
    <xf numFmtId="0" fontId="6" fillId="0" borderId="1" xfId="0" applyFont="1" applyBorder="1" applyAlignment="1">
      <alignment horizontal="left" vertical="center"/>
    </xf>
    <xf numFmtId="0" fontId="6" fillId="0" borderId="24" xfId="0" applyFont="1" applyBorder="1" applyAlignment="1">
      <alignment horizontal="left" vertical="center"/>
    </xf>
    <xf numFmtId="0" fontId="6" fillId="0" borderId="25" xfId="0" applyFont="1" applyBorder="1" applyAlignment="1">
      <alignment horizontal="left" vertical="center"/>
    </xf>
    <xf numFmtId="0" fontId="6" fillId="0" borderId="26" xfId="0" applyFont="1" applyBorder="1" applyAlignment="1">
      <alignment horizontal="left" vertical="center"/>
    </xf>
    <xf numFmtId="0" fontId="18" fillId="0" borderId="24" xfId="0" applyFont="1" applyBorder="1" applyAlignment="1">
      <alignment horizontal="left" vertical="top" wrapText="1"/>
    </xf>
    <xf numFmtId="0" fontId="18" fillId="0" borderId="25" xfId="0" applyFont="1" applyBorder="1" applyAlignment="1">
      <alignment horizontal="left" vertical="top"/>
    </xf>
    <xf numFmtId="0" fontId="18" fillId="0" borderId="1" xfId="0" applyFont="1" applyBorder="1" applyAlignment="1">
      <alignment horizontal="left" vertical="top"/>
    </xf>
    <xf numFmtId="0" fontId="18"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7" borderId="13" xfId="0" applyFont="1" applyFill="1" applyBorder="1" applyAlignment="1">
      <alignment horizontal="center" vertical="top"/>
    </xf>
    <xf numFmtId="0" fontId="6" fillId="7" borderId="15" xfId="0" applyFont="1" applyFill="1" applyBorder="1" applyAlignment="1">
      <alignment horizontal="center" vertical="top"/>
    </xf>
    <xf numFmtId="0" fontId="6" fillId="0" borderId="24" xfId="0" applyFont="1" applyBorder="1" applyAlignment="1">
      <alignment horizontal="left" vertical="top"/>
    </xf>
    <xf numFmtId="0" fontId="6" fillId="0" borderId="26" xfId="0" applyFont="1" applyBorder="1" applyAlignment="1">
      <alignment horizontal="left" vertical="top"/>
    </xf>
    <xf numFmtId="0" fontId="2" fillId="7" borderId="1" xfId="0" applyFont="1" applyFill="1" applyBorder="1" applyAlignment="1">
      <alignment horizontal="center" vertical="center"/>
    </xf>
    <xf numFmtId="0" fontId="6" fillId="0" borderId="1" xfId="0" applyFont="1" applyBorder="1" applyAlignment="1">
      <alignment horizontal="left" vertical="top" wrapText="1"/>
    </xf>
    <xf numFmtId="0" fontId="2" fillId="0" borderId="1" xfId="0" applyFont="1" applyBorder="1" applyAlignment="1">
      <alignment vertical="top" wrapText="1"/>
    </xf>
    <xf numFmtId="0" fontId="6" fillId="7" borderId="24" xfId="0" applyFont="1" applyFill="1" applyBorder="1" applyAlignment="1">
      <alignment horizontal="center" vertical="top"/>
    </xf>
    <xf numFmtId="0" fontId="6" fillId="7" borderId="26" xfId="0" applyFont="1" applyFill="1" applyBorder="1" applyAlignment="1">
      <alignment horizontal="center" vertical="top"/>
    </xf>
    <xf numFmtId="49" fontId="3" fillId="7" borderId="27" xfId="1" applyNumberFormat="1" applyFont="1" applyFill="1" applyBorder="1" applyAlignment="1">
      <alignment horizontal="center" vertical="center"/>
    </xf>
    <xf numFmtId="49" fontId="3" fillId="7" borderId="28" xfId="1" applyNumberFormat="1" applyFont="1" applyFill="1" applyBorder="1" applyAlignment="1">
      <alignment horizontal="center" vertical="center"/>
    </xf>
    <xf numFmtId="49" fontId="3" fillId="7" borderId="8" xfId="1" applyNumberFormat="1" applyFont="1" applyFill="1" applyBorder="1" applyAlignment="1">
      <alignment horizontal="center" vertical="center"/>
    </xf>
    <xf numFmtId="49" fontId="3" fillId="7" borderId="13" xfId="1" applyNumberFormat="1" applyFont="1" applyFill="1" applyBorder="1" applyAlignment="1">
      <alignment horizontal="center" vertical="center"/>
    </xf>
    <xf numFmtId="49" fontId="3" fillId="7" borderId="1" xfId="1" applyNumberFormat="1" applyFont="1" applyFill="1" applyBorder="1" applyAlignment="1">
      <alignment horizontal="center" vertical="center" wrapText="1"/>
    </xf>
    <xf numFmtId="0" fontId="9" fillId="5" borderId="16" xfId="0" applyFont="1" applyFill="1" applyBorder="1" applyAlignment="1">
      <alignment horizontal="left" vertical="center"/>
    </xf>
    <xf numFmtId="0" fontId="9" fillId="5" borderId="17" xfId="0" applyFont="1" applyFill="1" applyBorder="1" applyAlignment="1">
      <alignment horizontal="left" vertical="center"/>
    </xf>
    <xf numFmtId="0" fontId="9" fillId="5" borderId="19" xfId="0" applyFont="1" applyFill="1" applyBorder="1" applyAlignment="1">
      <alignment horizontal="left" vertical="center"/>
    </xf>
    <xf numFmtId="0" fontId="9" fillId="5" borderId="0" xfId="0" applyFont="1" applyFill="1" applyAlignment="1">
      <alignment horizontal="left" vertical="center"/>
    </xf>
    <xf numFmtId="0" fontId="9" fillId="5" borderId="19" xfId="0" applyFont="1" applyFill="1" applyBorder="1" applyAlignment="1">
      <alignment horizontal="left"/>
    </xf>
    <xf numFmtId="0" fontId="9" fillId="5" borderId="0" xfId="0" applyFont="1" applyFill="1" applyAlignment="1">
      <alignment horizontal="left"/>
    </xf>
    <xf numFmtId="0" fontId="2" fillId="0" borderId="1" xfId="0" applyFont="1" applyBorder="1" applyAlignment="1">
      <alignment horizontal="left" vertical="top" wrapText="1"/>
    </xf>
    <xf numFmtId="0" fontId="2" fillId="0" borderId="1" xfId="0" applyFont="1" applyBorder="1" applyAlignment="1">
      <alignment horizontal="left" vertical="top"/>
    </xf>
  </cellXfs>
  <cellStyles count="2">
    <cellStyle name="標準" xfId="0" builtinId="0"/>
    <cellStyle name="標準 5" xfId="1" xr:uid="{A0424383-F1F1-4499-9211-30C483C9104E}"/>
  </cellStyles>
  <dxfs count="1">
    <dxf>
      <fill>
        <patternFill>
          <bgColor theme="0" tint="-0.499984740745262"/>
        </patternFill>
      </fill>
    </dxf>
  </dxfs>
  <tableStyles count="0" defaultTableStyle="TableStyleMedium2" defaultPivotStyle="PivotStyleLight16"/>
  <colors>
    <mruColors>
      <color rgb="FF66CCFF"/>
      <color rgb="FF66FFFF"/>
      <color rgb="FF00FF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5.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7.emf"/></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2.png"/><Relationship Id="rId7" Type="http://schemas.openxmlformats.org/officeDocument/2006/relationships/image" Target="../media/image15.emf"/><Relationship Id="rId2" Type="http://schemas.openxmlformats.org/officeDocument/2006/relationships/image" Target="../media/image11.png"/><Relationship Id="rId1" Type="http://schemas.openxmlformats.org/officeDocument/2006/relationships/image" Target="../media/image10.emf"/><Relationship Id="rId6" Type="http://schemas.openxmlformats.org/officeDocument/2006/relationships/image" Target="../media/image14.emf"/><Relationship Id="rId5" Type="http://schemas.openxmlformats.org/officeDocument/2006/relationships/image" Target="../media/image13.png"/><Relationship Id="rId4"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0</xdr:row>
          <xdr:rowOff>0</xdr:rowOff>
        </xdr:from>
        <xdr:to>
          <xdr:col>66</xdr:col>
          <xdr:colOff>0</xdr:colOff>
          <xdr:row>1</xdr:row>
          <xdr:rowOff>179070</xdr:rowOff>
        </xdr:to>
        <xdr:pic>
          <xdr:nvPicPr>
            <xdr:cNvPr id="2" name="図 1">
              <a:extLst>
                <a:ext uri="{FF2B5EF4-FFF2-40B4-BE49-F238E27FC236}">
                  <a16:creationId xmlns:a16="http://schemas.microsoft.com/office/drawing/2014/main" id="{EDAC4A2C-843E-71F0-7BE0-41DEEC9C2722}"/>
                </a:ext>
              </a:extLst>
            </xdr:cNvPr>
            <xdr:cNvPicPr>
              <a:picLocks noChangeAspect="1" noChangeArrowheads="1"/>
              <a:extLst>
                <a:ext uri="{84589F7E-364E-4C9E-8A38-B11213B215E9}">
                  <a14:cameraTool cellRange="改訂履歴!$B$1:$BN$2" spid="_x0000_s4675"/>
                </a:ext>
              </a:extLst>
            </xdr:cNvPicPr>
          </xdr:nvPicPr>
          <xdr:blipFill>
            <a:blip xmlns:r="http://schemas.openxmlformats.org/officeDocument/2006/relationships" r:embed="rId1"/>
            <a:srcRect/>
            <a:stretch>
              <a:fillRect/>
            </a:stretch>
          </xdr:blipFill>
          <xdr:spPr bwMode="auto">
            <a:xfrm>
              <a:off x="200025" y="0"/>
              <a:ext cx="13001625" cy="3714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0</xdr:row>
          <xdr:rowOff>0</xdr:rowOff>
        </xdr:from>
        <xdr:to>
          <xdr:col>20</xdr:col>
          <xdr:colOff>53340</xdr:colOff>
          <xdr:row>1</xdr:row>
          <xdr:rowOff>169545</xdr:rowOff>
        </xdr:to>
        <xdr:pic>
          <xdr:nvPicPr>
            <xdr:cNvPr id="4" name="図 3">
              <a:extLst>
                <a:ext uri="{FF2B5EF4-FFF2-40B4-BE49-F238E27FC236}">
                  <a16:creationId xmlns:a16="http://schemas.microsoft.com/office/drawing/2014/main" id="{94226072-E187-4C26-A96B-6C98E9DF6F2B}"/>
                </a:ext>
              </a:extLst>
            </xdr:cNvPr>
            <xdr:cNvPicPr>
              <a:picLocks noChangeAspect="1" noChangeArrowheads="1"/>
              <a:extLst>
                <a:ext uri="{84589F7E-364E-4C9E-8A38-B11213B215E9}">
                  <a14:cameraTool cellRange="改訂履歴!$B$1:$BN$2" spid="_x0000_s11763"/>
                </a:ext>
              </a:extLst>
            </xdr:cNvPicPr>
          </xdr:nvPicPr>
          <xdr:blipFill>
            <a:blip xmlns:r="http://schemas.openxmlformats.org/officeDocument/2006/relationships" r:embed="rId1"/>
            <a:srcRect/>
            <a:stretch>
              <a:fillRect/>
            </a:stretch>
          </xdr:blipFill>
          <xdr:spPr bwMode="auto">
            <a:xfrm>
              <a:off x="200025" y="0"/>
              <a:ext cx="13001625" cy="36766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5</xdr:row>
          <xdr:rowOff>0</xdr:rowOff>
        </xdr:from>
        <xdr:to>
          <xdr:col>54</xdr:col>
          <xdr:colOff>17145</xdr:colOff>
          <xdr:row>62</xdr:row>
          <xdr:rowOff>169545</xdr:rowOff>
        </xdr:to>
        <xdr:pic>
          <xdr:nvPicPr>
            <xdr:cNvPr id="3" name="図 2">
              <a:extLst>
                <a:ext uri="{FF2B5EF4-FFF2-40B4-BE49-F238E27FC236}">
                  <a16:creationId xmlns:a16="http://schemas.microsoft.com/office/drawing/2014/main" id="{00FCA85C-8ACD-1823-BE25-BEEB402198EB}"/>
                </a:ext>
              </a:extLst>
            </xdr:cNvPr>
            <xdr:cNvPicPr>
              <a:picLocks noChangeAspect="1" noChangeArrowheads="1"/>
              <a:extLst>
                <a:ext uri="{84589F7E-364E-4C9E-8A38-B11213B215E9}">
                  <a14:cameraTool cellRange="'(非表示)画面レイアウト'!$B$2:$BA$32" spid="_x0000_s10143"/>
                </a:ext>
              </a:extLst>
            </xdr:cNvPicPr>
          </xdr:nvPicPr>
          <xdr:blipFill>
            <a:blip xmlns:r="http://schemas.openxmlformats.org/officeDocument/2006/relationships" r:embed="rId1"/>
            <a:srcRect/>
            <a:stretch>
              <a:fillRect/>
            </a:stretch>
          </xdr:blipFill>
          <xdr:spPr bwMode="auto">
            <a:xfrm>
              <a:off x="200025" y="866775"/>
              <a:ext cx="10429875" cy="115824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0</xdr:row>
          <xdr:rowOff>0</xdr:rowOff>
        </xdr:from>
        <xdr:to>
          <xdr:col>66</xdr:col>
          <xdr:colOff>9525</xdr:colOff>
          <xdr:row>1</xdr:row>
          <xdr:rowOff>169545</xdr:rowOff>
        </xdr:to>
        <xdr:pic>
          <xdr:nvPicPr>
            <xdr:cNvPr id="4" name="図 3">
              <a:extLst>
                <a:ext uri="{FF2B5EF4-FFF2-40B4-BE49-F238E27FC236}">
                  <a16:creationId xmlns:a16="http://schemas.microsoft.com/office/drawing/2014/main" id="{E4F6B1F0-87FE-4122-A8F1-B0CEB69552C7}"/>
                </a:ext>
              </a:extLst>
            </xdr:cNvPr>
            <xdr:cNvPicPr>
              <a:picLocks noChangeAspect="1" noChangeArrowheads="1"/>
              <a:extLst>
                <a:ext uri="{84589F7E-364E-4C9E-8A38-B11213B215E9}">
                  <a14:cameraTool cellRange="改訂履歴!$B$1:$BN$2" spid="_x0000_s10144"/>
                </a:ext>
              </a:extLst>
            </xdr:cNvPicPr>
          </xdr:nvPicPr>
          <xdr:blipFill>
            <a:blip xmlns:r="http://schemas.openxmlformats.org/officeDocument/2006/relationships" r:embed="rId2"/>
            <a:srcRect/>
            <a:stretch>
              <a:fillRect/>
            </a:stretch>
          </xdr:blipFill>
          <xdr:spPr bwMode="auto">
            <a:xfrm>
              <a:off x="0" y="0"/>
              <a:ext cx="13007340" cy="36004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0</xdr:row>
          <xdr:rowOff>0</xdr:rowOff>
        </xdr:from>
        <xdr:to>
          <xdr:col>12</xdr:col>
          <xdr:colOff>2162175</xdr:colOff>
          <xdr:row>1</xdr:row>
          <xdr:rowOff>173355</xdr:rowOff>
        </xdr:to>
        <xdr:pic>
          <xdr:nvPicPr>
            <xdr:cNvPr id="3" name="図 2">
              <a:extLst>
                <a:ext uri="{FF2B5EF4-FFF2-40B4-BE49-F238E27FC236}">
                  <a16:creationId xmlns:a16="http://schemas.microsoft.com/office/drawing/2014/main" id="{33873EFA-B61C-471A-B420-3E72A45C969C}"/>
                </a:ext>
              </a:extLst>
            </xdr:cNvPr>
            <xdr:cNvPicPr>
              <a:picLocks noChangeAspect="1" noChangeArrowheads="1"/>
              <a:extLst>
                <a:ext uri="{84589F7E-364E-4C9E-8A38-B11213B215E9}">
                  <a14:cameraTool cellRange="改訂履歴!$B$1:$BN$2" spid="_x0000_s10758"/>
                </a:ext>
              </a:extLst>
            </xdr:cNvPicPr>
          </xdr:nvPicPr>
          <xdr:blipFill>
            <a:blip xmlns:r="http://schemas.openxmlformats.org/officeDocument/2006/relationships" r:embed="rId1"/>
            <a:srcRect/>
            <a:stretch>
              <a:fillRect/>
            </a:stretch>
          </xdr:blipFill>
          <xdr:spPr bwMode="auto">
            <a:xfrm>
              <a:off x="0" y="0"/>
              <a:ext cx="13011150" cy="36004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0</xdr:row>
          <xdr:rowOff>0</xdr:rowOff>
        </xdr:from>
        <xdr:to>
          <xdr:col>7</xdr:col>
          <xdr:colOff>2802</xdr:colOff>
          <xdr:row>1</xdr:row>
          <xdr:rowOff>180975</xdr:rowOff>
        </xdr:to>
        <xdr:pic>
          <xdr:nvPicPr>
            <xdr:cNvPr id="3" name="図 2">
              <a:extLst>
                <a:ext uri="{FF2B5EF4-FFF2-40B4-BE49-F238E27FC236}">
                  <a16:creationId xmlns:a16="http://schemas.microsoft.com/office/drawing/2014/main" id="{97799AA3-1543-45B5-B115-885ADE968898}"/>
                </a:ext>
              </a:extLst>
            </xdr:cNvPr>
            <xdr:cNvPicPr>
              <a:picLocks noChangeAspect="1" noChangeArrowheads="1"/>
              <a:extLst>
                <a:ext uri="{84589F7E-364E-4C9E-8A38-B11213B215E9}">
                  <a14:cameraTool cellRange="改訂履歴!$B$1:$BN$2" spid="_x0000_s12758"/>
                </a:ext>
              </a:extLst>
            </xdr:cNvPicPr>
          </xdr:nvPicPr>
          <xdr:blipFill>
            <a:blip xmlns:r="http://schemas.openxmlformats.org/officeDocument/2006/relationships" r:embed="rId1"/>
            <a:srcRect/>
            <a:stretch>
              <a:fillRect/>
            </a:stretch>
          </xdr:blipFill>
          <xdr:spPr bwMode="auto">
            <a:xfrm>
              <a:off x="201706" y="0"/>
              <a:ext cx="13001625" cy="3714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0</xdr:row>
          <xdr:rowOff>0</xdr:rowOff>
        </xdr:from>
        <xdr:to>
          <xdr:col>19</xdr:col>
          <xdr:colOff>38100</xdr:colOff>
          <xdr:row>1</xdr:row>
          <xdr:rowOff>173355</xdr:rowOff>
        </xdr:to>
        <xdr:pic>
          <xdr:nvPicPr>
            <xdr:cNvPr id="3" name="図 2">
              <a:extLst>
                <a:ext uri="{FF2B5EF4-FFF2-40B4-BE49-F238E27FC236}">
                  <a16:creationId xmlns:a16="http://schemas.microsoft.com/office/drawing/2014/main" id="{E330545B-C6C6-4466-A6CD-ACD1401E89B6}"/>
                </a:ext>
              </a:extLst>
            </xdr:cNvPr>
            <xdr:cNvPicPr>
              <a:picLocks noChangeAspect="1" noChangeArrowheads="1"/>
              <a:extLst>
                <a:ext uri="{84589F7E-364E-4C9E-8A38-B11213B215E9}">
                  <a14:cameraTool cellRange="改訂履歴!$B$1:$BN$2" spid="_x0000_s32792"/>
                </a:ext>
              </a:extLst>
            </xdr:cNvPicPr>
          </xdr:nvPicPr>
          <xdr:blipFill>
            <a:blip xmlns:r="http://schemas.openxmlformats.org/officeDocument/2006/relationships" r:embed="rId1"/>
            <a:srcRect/>
            <a:stretch>
              <a:fillRect/>
            </a:stretch>
          </xdr:blipFill>
          <xdr:spPr bwMode="auto">
            <a:xfrm>
              <a:off x="200025" y="0"/>
              <a:ext cx="13011150" cy="3733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0</xdr:row>
          <xdr:rowOff>0</xdr:rowOff>
        </xdr:from>
        <xdr:to>
          <xdr:col>19</xdr:col>
          <xdr:colOff>38100</xdr:colOff>
          <xdr:row>1</xdr:row>
          <xdr:rowOff>173355</xdr:rowOff>
        </xdr:to>
        <xdr:pic>
          <xdr:nvPicPr>
            <xdr:cNvPr id="3" name="図 2">
              <a:extLst>
                <a:ext uri="{FF2B5EF4-FFF2-40B4-BE49-F238E27FC236}">
                  <a16:creationId xmlns:a16="http://schemas.microsoft.com/office/drawing/2014/main" id="{28788FA5-A1C3-48C1-AC82-853974EB08E1}"/>
                </a:ext>
              </a:extLst>
            </xdr:cNvPr>
            <xdr:cNvPicPr>
              <a:picLocks noChangeAspect="1" noChangeArrowheads="1"/>
              <a:extLst>
                <a:ext uri="{84589F7E-364E-4C9E-8A38-B11213B215E9}">
                  <a14:cameraTool cellRange="改訂履歴!$B$1:$BN$2" spid="_x0000_s33816"/>
                </a:ext>
              </a:extLst>
            </xdr:cNvPicPr>
          </xdr:nvPicPr>
          <xdr:blipFill>
            <a:blip xmlns:r="http://schemas.openxmlformats.org/officeDocument/2006/relationships" r:embed="rId1"/>
            <a:srcRect/>
            <a:stretch>
              <a:fillRect/>
            </a:stretch>
          </xdr:blipFill>
          <xdr:spPr bwMode="auto">
            <a:xfrm>
              <a:off x="200025" y="0"/>
              <a:ext cx="13011150" cy="3733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0</xdr:row>
          <xdr:rowOff>0</xdr:rowOff>
        </xdr:from>
        <xdr:to>
          <xdr:col>28</xdr:col>
          <xdr:colOff>66675</xdr:colOff>
          <xdr:row>1</xdr:row>
          <xdr:rowOff>180975</xdr:rowOff>
        </xdr:to>
        <xdr:pic>
          <xdr:nvPicPr>
            <xdr:cNvPr id="4" name="図 3">
              <a:extLst>
                <a:ext uri="{FF2B5EF4-FFF2-40B4-BE49-F238E27FC236}">
                  <a16:creationId xmlns:a16="http://schemas.microsoft.com/office/drawing/2014/main" id="{2E05820C-30FB-4DED-ADAA-8D32150CF05E}"/>
                </a:ext>
              </a:extLst>
            </xdr:cNvPr>
            <xdr:cNvPicPr>
              <a:picLocks noChangeAspect="1" noChangeArrowheads="1"/>
              <a:extLst>
                <a:ext uri="{84589F7E-364E-4C9E-8A38-B11213B215E9}">
                  <a14:cameraTool cellRange="改訂履歴!$B$1:$BN$2" spid="_x0000_s26712"/>
                </a:ext>
              </a:extLst>
            </xdr:cNvPicPr>
          </xdr:nvPicPr>
          <xdr:blipFill>
            <a:blip xmlns:r="http://schemas.openxmlformats.org/officeDocument/2006/relationships" r:embed="rId1"/>
            <a:srcRect/>
            <a:stretch>
              <a:fillRect/>
            </a:stretch>
          </xdr:blipFill>
          <xdr:spPr bwMode="auto">
            <a:xfrm>
              <a:off x="200025" y="0"/>
              <a:ext cx="13001625" cy="3714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0</xdr:row>
          <xdr:rowOff>0</xdr:rowOff>
        </xdr:from>
        <xdr:to>
          <xdr:col>8</xdr:col>
          <xdr:colOff>19050</xdr:colOff>
          <xdr:row>1</xdr:row>
          <xdr:rowOff>173355</xdr:rowOff>
        </xdr:to>
        <xdr:pic>
          <xdr:nvPicPr>
            <xdr:cNvPr id="3" name="図 2">
              <a:extLst>
                <a:ext uri="{FF2B5EF4-FFF2-40B4-BE49-F238E27FC236}">
                  <a16:creationId xmlns:a16="http://schemas.microsoft.com/office/drawing/2014/main" id="{DE36E1EE-6C76-4430-9A6D-F9ED8F67C9DB}"/>
                </a:ext>
              </a:extLst>
            </xdr:cNvPr>
            <xdr:cNvPicPr>
              <a:picLocks noChangeAspect="1" noChangeArrowheads="1"/>
              <a:extLst>
                <a:ext uri="{84589F7E-364E-4C9E-8A38-B11213B215E9}">
                  <a14:cameraTool cellRange="改訂履歴!$B$1:$BN$2" spid="_x0000_s14812"/>
                </a:ext>
              </a:extLst>
            </xdr:cNvPicPr>
          </xdr:nvPicPr>
          <xdr:blipFill>
            <a:blip xmlns:r="http://schemas.openxmlformats.org/officeDocument/2006/relationships" r:embed="rId1"/>
            <a:srcRect/>
            <a:stretch>
              <a:fillRect/>
            </a:stretch>
          </xdr:blipFill>
          <xdr:spPr bwMode="auto">
            <a:xfrm>
              <a:off x="0" y="0"/>
              <a:ext cx="13011150" cy="36004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20</xdr:col>
      <xdr:colOff>152401</xdr:colOff>
      <xdr:row>7</xdr:row>
      <xdr:rowOff>123825</xdr:rowOff>
    </xdr:from>
    <xdr:to>
      <xdr:col>34</xdr:col>
      <xdr:colOff>48986</xdr:colOff>
      <xdr:row>7</xdr:row>
      <xdr:rowOff>303825</xdr:rowOff>
    </xdr:to>
    <xdr:grpSp>
      <xdr:nvGrpSpPr>
        <xdr:cNvPr id="7" name="グループ化 6">
          <a:extLst>
            <a:ext uri="{FF2B5EF4-FFF2-40B4-BE49-F238E27FC236}">
              <a16:creationId xmlns:a16="http://schemas.microsoft.com/office/drawing/2014/main" id="{24377835-9EDF-4B0A-B8BC-70BE4C0DFB5B}"/>
            </a:ext>
          </a:extLst>
        </xdr:cNvPr>
        <xdr:cNvGrpSpPr/>
      </xdr:nvGrpSpPr>
      <xdr:grpSpPr>
        <a:xfrm>
          <a:off x="4114801" y="2127885"/>
          <a:ext cx="2693125" cy="180000"/>
          <a:chOff x="6614160" y="3495441"/>
          <a:chExt cx="2698283" cy="180000"/>
        </a:xfrm>
      </xdr:grpSpPr>
      <xdr:sp macro="" textlink="">
        <xdr:nvSpPr>
          <xdr:cNvPr id="8" name="四角形: 角を丸くする 7">
            <a:extLst>
              <a:ext uri="{FF2B5EF4-FFF2-40B4-BE49-F238E27FC236}">
                <a16:creationId xmlns:a16="http://schemas.microsoft.com/office/drawing/2014/main" id="{6B7BA7ED-D4C3-740E-4D75-7593A07DF9C4}"/>
              </a:ext>
            </a:extLst>
          </xdr:cNvPr>
          <xdr:cNvSpPr/>
        </xdr:nvSpPr>
        <xdr:spPr>
          <a:xfrm>
            <a:off x="6614160" y="3495441"/>
            <a:ext cx="2698283" cy="180000"/>
          </a:xfrm>
          <a:prstGeom prst="roundRect">
            <a:avLst/>
          </a:prstGeom>
          <a:solidFill>
            <a:schemeClr val="bg1"/>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indent="0" algn="l" defTabSz="914400" rtl="0" eaLnBrk="1" latinLnBrk="0" hangingPunct="1">
              <a:defRPr kumimoji="1" sz="1800" kern="1200">
                <a:solidFill>
                  <a:schemeClr val="lt1"/>
                </a:solidFill>
                <a:latin typeface="+mn-lt"/>
                <a:ea typeface="+mn-ea"/>
                <a:cs typeface="+mn-cs"/>
              </a:defRPr>
            </a:lvl1pPr>
            <a:lvl2pPr marL="457200" indent="0" algn="l" defTabSz="914400" rtl="0" eaLnBrk="1" latinLnBrk="0" hangingPunct="1">
              <a:defRPr kumimoji="1" sz="1800" kern="1200">
                <a:solidFill>
                  <a:schemeClr val="lt1"/>
                </a:solidFill>
                <a:latin typeface="+mn-lt"/>
                <a:ea typeface="+mn-ea"/>
                <a:cs typeface="+mn-cs"/>
              </a:defRPr>
            </a:lvl2pPr>
            <a:lvl3pPr marL="914400" indent="0" algn="l" defTabSz="914400" rtl="0" eaLnBrk="1" latinLnBrk="0" hangingPunct="1">
              <a:defRPr kumimoji="1" sz="1800" kern="1200">
                <a:solidFill>
                  <a:schemeClr val="lt1"/>
                </a:solidFill>
                <a:latin typeface="+mn-lt"/>
                <a:ea typeface="+mn-ea"/>
                <a:cs typeface="+mn-cs"/>
              </a:defRPr>
            </a:lvl3pPr>
            <a:lvl4pPr marL="1371600" indent="0" algn="l" defTabSz="914400" rtl="0" eaLnBrk="1" latinLnBrk="0" hangingPunct="1">
              <a:defRPr kumimoji="1" sz="1800" kern="1200">
                <a:solidFill>
                  <a:schemeClr val="lt1"/>
                </a:solidFill>
                <a:latin typeface="+mn-lt"/>
                <a:ea typeface="+mn-ea"/>
                <a:cs typeface="+mn-cs"/>
              </a:defRPr>
            </a:lvl4pPr>
            <a:lvl5pPr marL="1828800" indent="0" algn="l" defTabSz="914400" rtl="0" eaLnBrk="1" latinLnBrk="0" hangingPunct="1">
              <a:defRPr kumimoji="1" sz="1800" kern="1200">
                <a:solidFill>
                  <a:schemeClr val="lt1"/>
                </a:solidFill>
                <a:latin typeface="+mn-lt"/>
                <a:ea typeface="+mn-ea"/>
                <a:cs typeface="+mn-cs"/>
              </a:defRPr>
            </a:lvl5pPr>
            <a:lvl6pPr marL="2286000" indent="0" algn="l" defTabSz="914400" rtl="0" eaLnBrk="1" latinLnBrk="0" hangingPunct="1">
              <a:defRPr kumimoji="1" sz="1800" kern="1200">
                <a:solidFill>
                  <a:schemeClr val="lt1"/>
                </a:solidFill>
                <a:latin typeface="+mn-lt"/>
                <a:ea typeface="+mn-ea"/>
                <a:cs typeface="+mn-cs"/>
              </a:defRPr>
            </a:lvl6pPr>
            <a:lvl7pPr marL="2743200" indent="0" algn="l" defTabSz="914400" rtl="0" eaLnBrk="1" latinLnBrk="0" hangingPunct="1">
              <a:defRPr kumimoji="1" sz="1800" kern="1200">
                <a:solidFill>
                  <a:schemeClr val="lt1"/>
                </a:solidFill>
                <a:latin typeface="+mn-lt"/>
                <a:ea typeface="+mn-ea"/>
                <a:cs typeface="+mn-cs"/>
              </a:defRPr>
            </a:lvl7pPr>
            <a:lvl8pPr marL="3200400" indent="0" algn="l" defTabSz="914400" rtl="0" eaLnBrk="1" latinLnBrk="0" hangingPunct="1">
              <a:defRPr kumimoji="1" sz="1800" kern="1200">
                <a:solidFill>
                  <a:schemeClr val="lt1"/>
                </a:solidFill>
                <a:latin typeface="+mn-lt"/>
                <a:ea typeface="+mn-ea"/>
                <a:cs typeface="+mn-cs"/>
              </a:defRPr>
            </a:lvl8pPr>
            <a:lvl9pPr marL="3657600" indent="0" algn="l" defTabSz="914400" rtl="0" eaLnBrk="1" latinLnBrk="0" hangingPunct="1">
              <a:defRPr kumimoji="1" sz="1800" kern="1200">
                <a:solidFill>
                  <a:schemeClr val="lt1"/>
                </a:solidFill>
                <a:latin typeface="+mn-lt"/>
                <a:ea typeface="+mn-ea"/>
                <a:cs typeface="+mn-cs"/>
              </a:defRPr>
            </a:lvl9pPr>
          </a:lstStyle>
          <a:p>
            <a:pPr algn="l"/>
            <a:r>
              <a:rPr kumimoji="1" lang="ja-JP" altLang="en-US" sz="1000">
                <a:solidFill>
                  <a:schemeClr val="tx1"/>
                </a:solidFill>
                <a:latin typeface="Meiryo UI" panose="020B0604030504040204" pitchFamily="50" charset="-128"/>
                <a:ea typeface="Meiryo UI" panose="020B0604030504040204" pitchFamily="50" charset="-128"/>
              </a:rPr>
              <a:t>未選択</a:t>
            </a:r>
          </a:p>
        </xdr:txBody>
      </xdr:sp>
      <xdr:sp macro="" textlink="">
        <xdr:nvSpPr>
          <xdr:cNvPr id="9" name="二等辺三角形 8">
            <a:extLst>
              <a:ext uri="{FF2B5EF4-FFF2-40B4-BE49-F238E27FC236}">
                <a16:creationId xmlns:a16="http://schemas.microsoft.com/office/drawing/2014/main" id="{31D8903B-5391-F29C-F620-DF2DE2284DAE}"/>
              </a:ext>
            </a:extLst>
          </xdr:cNvPr>
          <xdr:cNvSpPr/>
        </xdr:nvSpPr>
        <xdr:spPr>
          <a:xfrm rot="10800000">
            <a:off x="9134100" y="3551504"/>
            <a:ext cx="108000" cy="90000"/>
          </a:xfrm>
          <a:prstGeom prst="triangl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Meiryo UI" panose="020B0604030504040204" pitchFamily="50" charset="-128"/>
              <a:ea typeface="Meiryo UI" panose="020B0604030504040204" pitchFamily="50" charset="-128"/>
            </a:endParaRPr>
          </a:p>
        </xdr:txBody>
      </xdr:sp>
    </xdr:grpSp>
    <xdr:clientData/>
  </xdr:twoCellAnchor>
  <xdr:twoCellAnchor>
    <xdr:from>
      <xdr:col>20</xdr:col>
      <xdr:colOff>152401</xdr:colOff>
      <xdr:row>8</xdr:row>
      <xdr:rowOff>151086</xdr:rowOff>
    </xdr:from>
    <xdr:to>
      <xdr:col>48</xdr:col>
      <xdr:colOff>85397</xdr:colOff>
      <xdr:row>8</xdr:row>
      <xdr:rowOff>331086</xdr:rowOff>
    </xdr:to>
    <xdr:sp macro="" textlink="">
      <xdr:nvSpPr>
        <xdr:cNvPr id="11" name="四角形: 角を丸くする 10">
          <a:extLst>
            <a:ext uri="{FF2B5EF4-FFF2-40B4-BE49-F238E27FC236}">
              <a16:creationId xmlns:a16="http://schemas.microsoft.com/office/drawing/2014/main" id="{E4F76EC7-F85B-4F20-BF85-01C98461632D}"/>
            </a:ext>
          </a:extLst>
        </xdr:cNvPr>
        <xdr:cNvSpPr/>
      </xdr:nvSpPr>
      <xdr:spPr>
        <a:xfrm>
          <a:off x="4868918" y="2660431"/>
          <a:ext cx="5470634" cy="180000"/>
        </a:xfrm>
        <a:prstGeom prst="roundRect">
          <a:avLst/>
        </a:prstGeom>
        <a:solidFill>
          <a:schemeClr val="bg1">
            <a:lumMod val="85000"/>
          </a:schemeClr>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11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20</xdr:col>
      <xdr:colOff>152401</xdr:colOff>
      <xdr:row>9</xdr:row>
      <xdr:rowOff>145831</xdr:rowOff>
    </xdr:from>
    <xdr:to>
      <xdr:col>48</xdr:col>
      <xdr:colOff>65690</xdr:colOff>
      <xdr:row>9</xdr:row>
      <xdr:rowOff>325831</xdr:rowOff>
    </xdr:to>
    <xdr:sp macro="" textlink="">
      <xdr:nvSpPr>
        <xdr:cNvPr id="13" name="四角形: 角を丸くする 12">
          <a:extLst>
            <a:ext uri="{FF2B5EF4-FFF2-40B4-BE49-F238E27FC236}">
              <a16:creationId xmlns:a16="http://schemas.microsoft.com/office/drawing/2014/main" id="{6B55D142-24CF-4CB1-8AC1-8D43962FB356}"/>
            </a:ext>
          </a:extLst>
        </xdr:cNvPr>
        <xdr:cNvSpPr/>
      </xdr:nvSpPr>
      <xdr:spPr>
        <a:xfrm>
          <a:off x="4868918" y="3121572"/>
          <a:ext cx="5450927" cy="180000"/>
        </a:xfrm>
        <a:prstGeom prst="roundRect">
          <a:avLst/>
        </a:prstGeom>
        <a:solidFill>
          <a:schemeClr val="bg1">
            <a:lumMod val="85000"/>
          </a:schemeClr>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11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20</xdr:col>
      <xdr:colOff>152401</xdr:colOff>
      <xdr:row>23</xdr:row>
      <xdr:rowOff>123824</xdr:rowOff>
    </xdr:from>
    <xdr:to>
      <xdr:col>34</xdr:col>
      <xdr:colOff>48986</xdr:colOff>
      <xdr:row>23</xdr:row>
      <xdr:rowOff>303824</xdr:rowOff>
    </xdr:to>
    <xdr:grpSp>
      <xdr:nvGrpSpPr>
        <xdr:cNvPr id="27" name="グループ化 26">
          <a:extLst>
            <a:ext uri="{FF2B5EF4-FFF2-40B4-BE49-F238E27FC236}">
              <a16:creationId xmlns:a16="http://schemas.microsoft.com/office/drawing/2014/main" id="{C8F85CC1-7FB3-4D7B-AB2D-83BA5DA3B081}"/>
            </a:ext>
          </a:extLst>
        </xdr:cNvPr>
        <xdr:cNvGrpSpPr/>
      </xdr:nvGrpSpPr>
      <xdr:grpSpPr>
        <a:xfrm>
          <a:off x="4114801" y="7949564"/>
          <a:ext cx="2693125" cy="180000"/>
          <a:chOff x="6614160" y="3495441"/>
          <a:chExt cx="2698283" cy="180000"/>
        </a:xfrm>
      </xdr:grpSpPr>
      <xdr:sp macro="" textlink="">
        <xdr:nvSpPr>
          <xdr:cNvPr id="38" name="四角形: 角を丸くする 37">
            <a:extLst>
              <a:ext uri="{FF2B5EF4-FFF2-40B4-BE49-F238E27FC236}">
                <a16:creationId xmlns:a16="http://schemas.microsoft.com/office/drawing/2014/main" id="{789F107C-8986-3CDA-4FAC-0ADDFEB3B9EB}"/>
              </a:ext>
            </a:extLst>
          </xdr:cNvPr>
          <xdr:cNvSpPr/>
        </xdr:nvSpPr>
        <xdr:spPr>
          <a:xfrm>
            <a:off x="6614160" y="3495441"/>
            <a:ext cx="2698283" cy="180000"/>
          </a:xfrm>
          <a:prstGeom prst="roundRect">
            <a:avLst/>
          </a:prstGeom>
          <a:solidFill>
            <a:schemeClr val="bg1"/>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indent="0" algn="l" defTabSz="914400" rtl="0" eaLnBrk="1" latinLnBrk="0" hangingPunct="1">
              <a:defRPr kumimoji="1" sz="1800" kern="1200">
                <a:solidFill>
                  <a:schemeClr val="lt1"/>
                </a:solidFill>
                <a:latin typeface="+mn-lt"/>
                <a:ea typeface="+mn-ea"/>
                <a:cs typeface="+mn-cs"/>
              </a:defRPr>
            </a:lvl1pPr>
            <a:lvl2pPr marL="457200" indent="0" algn="l" defTabSz="914400" rtl="0" eaLnBrk="1" latinLnBrk="0" hangingPunct="1">
              <a:defRPr kumimoji="1" sz="1800" kern="1200">
                <a:solidFill>
                  <a:schemeClr val="lt1"/>
                </a:solidFill>
                <a:latin typeface="+mn-lt"/>
                <a:ea typeface="+mn-ea"/>
                <a:cs typeface="+mn-cs"/>
              </a:defRPr>
            </a:lvl2pPr>
            <a:lvl3pPr marL="914400" indent="0" algn="l" defTabSz="914400" rtl="0" eaLnBrk="1" latinLnBrk="0" hangingPunct="1">
              <a:defRPr kumimoji="1" sz="1800" kern="1200">
                <a:solidFill>
                  <a:schemeClr val="lt1"/>
                </a:solidFill>
                <a:latin typeface="+mn-lt"/>
                <a:ea typeface="+mn-ea"/>
                <a:cs typeface="+mn-cs"/>
              </a:defRPr>
            </a:lvl3pPr>
            <a:lvl4pPr marL="1371600" indent="0" algn="l" defTabSz="914400" rtl="0" eaLnBrk="1" latinLnBrk="0" hangingPunct="1">
              <a:defRPr kumimoji="1" sz="1800" kern="1200">
                <a:solidFill>
                  <a:schemeClr val="lt1"/>
                </a:solidFill>
                <a:latin typeface="+mn-lt"/>
                <a:ea typeface="+mn-ea"/>
                <a:cs typeface="+mn-cs"/>
              </a:defRPr>
            </a:lvl4pPr>
            <a:lvl5pPr marL="1828800" indent="0" algn="l" defTabSz="914400" rtl="0" eaLnBrk="1" latinLnBrk="0" hangingPunct="1">
              <a:defRPr kumimoji="1" sz="1800" kern="1200">
                <a:solidFill>
                  <a:schemeClr val="lt1"/>
                </a:solidFill>
                <a:latin typeface="+mn-lt"/>
                <a:ea typeface="+mn-ea"/>
                <a:cs typeface="+mn-cs"/>
              </a:defRPr>
            </a:lvl5pPr>
            <a:lvl6pPr marL="2286000" indent="0" algn="l" defTabSz="914400" rtl="0" eaLnBrk="1" latinLnBrk="0" hangingPunct="1">
              <a:defRPr kumimoji="1" sz="1800" kern="1200">
                <a:solidFill>
                  <a:schemeClr val="lt1"/>
                </a:solidFill>
                <a:latin typeface="+mn-lt"/>
                <a:ea typeface="+mn-ea"/>
                <a:cs typeface="+mn-cs"/>
              </a:defRPr>
            </a:lvl6pPr>
            <a:lvl7pPr marL="2743200" indent="0" algn="l" defTabSz="914400" rtl="0" eaLnBrk="1" latinLnBrk="0" hangingPunct="1">
              <a:defRPr kumimoji="1" sz="1800" kern="1200">
                <a:solidFill>
                  <a:schemeClr val="lt1"/>
                </a:solidFill>
                <a:latin typeface="+mn-lt"/>
                <a:ea typeface="+mn-ea"/>
                <a:cs typeface="+mn-cs"/>
              </a:defRPr>
            </a:lvl7pPr>
            <a:lvl8pPr marL="3200400" indent="0" algn="l" defTabSz="914400" rtl="0" eaLnBrk="1" latinLnBrk="0" hangingPunct="1">
              <a:defRPr kumimoji="1" sz="1800" kern="1200">
                <a:solidFill>
                  <a:schemeClr val="lt1"/>
                </a:solidFill>
                <a:latin typeface="+mn-lt"/>
                <a:ea typeface="+mn-ea"/>
                <a:cs typeface="+mn-cs"/>
              </a:defRPr>
            </a:lvl8pPr>
            <a:lvl9pPr marL="3657600" indent="0" algn="l" defTabSz="914400" rtl="0" eaLnBrk="1" latinLnBrk="0" hangingPunct="1">
              <a:defRPr kumimoji="1" sz="1800" kern="1200">
                <a:solidFill>
                  <a:schemeClr val="lt1"/>
                </a:solidFill>
                <a:latin typeface="+mn-lt"/>
                <a:ea typeface="+mn-ea"/>
                <a:cs typeface="+mn-cs"/>
              </a:defRPr>
            </a:lvl9pPr>
          </a:lstStyle>
          <a:p>
            <a:pPr algn="l"/>
            <a:r>
              <a:rPr kumimoji="1" lang="ja-JP" altLang="en-US" sz="1000">
                <a:solidFill>
                  <a:schemeClr val="tx1"/>
                </a:solidFill>
                <a:latin typeface="Meiryo UI" panose="020B0604030504040204" pitchFamily="50" charset="-128"/>
                <a:ea typeface="Meiryo UI" panose="020B0604030504040204" pitchFamily="50" charset="-128"/>
              </a:rPr>
              <a:t>本社</a:t>
            </a:r>
            <a:r>
              <a:rPr kumimoji="1" lang="en-US" altLang="ja-JP" sz="1000">
                <a:solidFill>
                  <a:schemeClr val="tx1"/>
                </a:solidFill>
                <a:latin typeface="Meiryo UI" panose="020B0604030504040204" pitchFamily="50" charset="-128"/>
                <a:ea typeface="Meiryo UI" panose="020B0604030504040204" pitchFamily="50" charset="-128"/>
              </a:rPr>
              <a:t>2F </a:t>
            </a:r>
            <a:r>
              <a:rPr kumimoji="1" lang="ja-JP" altLang="en-US" sz="1000">
                <a:solidFill>
                  <a:schemeClr val="tx1"/>
                </a:solidFill>
                <a:latin typeface="Meiryo UI" panose="020B0604030504040204" pitchFamily="50" charset="-128"/>
                <a:ea typeface="Meiryo UI" panose="020B0604030504040204" pitchFamily="50" charset="-128"/>
              </a:rPr>
              <a:t>会議室 ヒマワリ</a:t>
            </a:r>
          </a:p>
        </xdr:txBody>
      </xdr:sp>
      <xdr:sp macro="" textlink="">
        <xdr:nvSpPr>
          <xdr:cNvPr id="39" name="二等辺三角形 38">
            <a:extLst>
              <a:ext uri="{FF2B5EF4-FFF2-40B4-BE49-F238E27FC236}">
                <a16:creationId xmlns:a16="http://schemas.microsoft.com/office/drawing/2014/main" id="{2D6C825E-303D-3949-0551-9631B4D4EB80}"/>
              </a:ext>
            </a:extLst>
          </xdr:cNvPr>
          <xdr:cNvSpPr/>
        </xdr:nvSpPr>
        <xdr:spPr>
          <a:xfrm rot="10800000">
            <a:off x="9134100" y="3551504"/>
            <a:ext cx="108000" cy="90000"/>
          </a:xfrm>
          <a:prstGeom prst="triangl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20</xdr:col>
      <xdr:colOff>152401</xdr:colOff>
      <xdr:row>24</xdr:row>
      <xdr:rowOff>151086</xdr:rowOff>
    </xdr:from>
    <xdr:to>
      <xdr:col>48</xdr:col>
      <xdr:colOff>85397</xdr:colOff>
      <xdr:row>24</xdr:row>
      <xdr:rowOff>331086</xdr:rowOff>
    </xdr:to>
    <xdr:sp macro="" textlink="">
      <xdr:nvSpPr>
        <xdr:cNvPr id="40" name="四角形: 角を丸くする 39">
          <a:extLst>
            <a:ext uri="{FF2B5EF4-FFF2-40B4-BE49-F238E27FC236}">
              <a16:creationId xmlns:a16="http://schemas.microsoft.com/office/drawing/2014/main" id="{15206F65-F7F4-436E-8787-1B28D09EA9A8}"/>
            </a:ext>
          </a:extLst>
        </xdr:cNvPr>
        <xdr:cNvSpPr/>
      </xdr:nvSpPr>
      <xdr:spPr>
        <a:xfrm>
          <a:off x="4959725" y="2672410"/>
          <a:ext cx="5603172" cy="180000"/>
        </a:xfrm>
        <a:prstGeom prst="roundRect">
          <a:avLst/>
        </a:prstGeom>
        <a:solidFill>
          <a:schemeClr val="bg1"/>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r>
            <a:rPr kumimoji="1" lang="en-US" altLang="ja-JP" sz="1000">
              <a:solidFill>
                <a:schemeClr val="tx1"/>
              </a:solidFill>
              <a:latin typeface="Meiryo UI" panose="020B0604030504040204" pitchFamily="50" charset="-128"/>
              <a:ea typeface="Meiryo UI" panose="020B0604030504040204" pitchFamily="50" charset="-128"/>
            </a:rPr>
            <a:t>XXXXXXXX-XXXX-XXXX-XXXX-XXXXXXXXXXXX</a:t>
          </a:r>
          <a:endParaRPr kumimoji="1" lang="ja-JP" altLang="en-US"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20</xdr:col>
      <xdr:colOff>152401</xdr:colOff>
      <xdr:row>25</xdr:row>
      <xdr:rowOff>145831</xdr:rowOff>
    </xdr:from>
    <xdr:to>
      <xdr:col>48</xdr:col>
      <xdr:colOff>65690</xdr:colOff>
      <xdr:row>25</xdr:row>
      <xdr:rowOff>325831</xdr:rowOff>
    </xdr:to>
    <xdr:sp macro="" textlink="">
      <xdr:nvSpPr>
        <xdr:cNvPr id="41" name="四角形: 角を丸くする 40">
          <a:extLst>
            <a:ext uri="{FF2B5EF4-FFF2-40B4-BE49-F238E27FC236}">
              <a16:creationId xmlns:a16="http://schemas.microsoft.com/office/drawing/2014/main" id="{49424FA7-0071-4217-B7B6-87291414A2D6}"/>
            </a:ext>
          </a:extLst>
        </xdr:cNvPr>
        <xdr:cNvSpPr/>
      </xdr:nvSpPr>
      <xdr:spPr>
        <a:xfrm>
          <a:off x="4959725" y="3137802"/>
          <a:ext cx="5583465" cy="180000"/>
        </a:xfrm>
        <a:prstGeom prst="roundRect">
          <a:avLst/>
        </a:prstGeom>
        <a:solidFill>
          <a:schemeClr val="bg1">
            <a:lumMod val="85000"/>
          </a:schemeClr>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r>
            <a:rPr kumimoji="1" lang="ja-JP" altLang="en-US" sz="1000">
              <a:solidFill>
                <a:schemeClr val="tx1"/>
              </a:solidFill>
              <a:latin typeface="Meiryo UI" panose="020B0604030504040204" pitchFamily="50" charset="-128"/>
              <a:ea typeface="Meiryo UI" panose="020B0604030504040204" pitchFamily="50" charset="-128"/>
            </a:rPr>
            <a:t>本社</a:t>
          </a:r>
          <a:r>
            <a:rPr kumimoji="1" lang="en-US" altLang="ja-JP" sz="1000">
              <a:solidFill>
                <a:schemeClr val="tx1"/>
              </a:solidFill>
              <a:latin typeface="Meiryo UI" panose="020B0604030504040204" pitchFamily="50" charset="-128"/>
              <a:ea typeface="Meiryo UI" panose="020B0604030504040204" pitchFamily="50" charset="-128"/>
            </a:rPr>
            <a:t>2F </a:t>
          </a:r>
          <a:r>
            <a:rPr kumimoji="1" lang="ja-JP" altLang="en-US" sz="1000">
              <a:solidFill>
                <a:schemeClr val="tx1"/>
              </a:solidFill>
              <a:latin typeface="Meiryo UI" panose="020B0604030504040204" pitchFamily="50" charset="-128"/>
              <a:ea typeface="Meiryo UI" panose="020B0604030504040204" pitchFamily="50" charset="-128"/>
            </a:rPr>
            <a:t>会議室 フリージア</a:t>
          </a:r>
          <a:r>
            <a:rPr kumimoji="1" lang="en-US" altLang="ja-JP" sz="1000">
              <a:solidFill>
                <a:schemeClr val="tx1"/>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本社</a:t>
          </a:r>
          <a:r>
            <a:rPr kumimoji="1" lang="en-US" altLang="ja-JP" sz="1000">
              <a:solidFill>
                <a:schemeClr val="tx1"/>
              </a:solidFill>
              <a:latin typeface="Meiryo UI" panose="020B0604030504040204" pitchFamily="50" charset="-128"/>
              <a:ea typeface="Meiryo UI" panose="020B0604030504040204" pitchFamily="50" charset="-128"/>
            </a:rPr>
            <a:t>2F </a:t>
          </a:r>
          <a:r>
            <a:rPr kumimoji="1" lang="ja-JP" altLang="en-US" sz="1000">
              <a:solidFill>
                <a:schemeClr val="tx1"/>
              </a:solidFill>
              <a:latin typeface="Meiryo UI" panose="020B0604030504040204" pitchFamily="50" charset="-128"/>
              <a:ea typeface="Meiryo UI" panose="020B0604030504040204" pitchFamily="50" charset="-128"/>
            </a:rPr>
            <a:t>会議室 リンドウ</a:t>
          </a:r>
          <a:r>
            <a:rPr kumimoji="1" lang="en-US" altLang="ja-JP" sz="1000">
              <a:solidFill>
                <a:schemeClr val="tx1"/>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本社</a:t>
          </a:r>
          <a:r>
            <a:rPr kumimoji="1" lang="en-US" altLang="ja-JP" sz="1000">
              <a:solidFill>
                <a:schemeClr val="tx1"/>
              </a:solidFill>
              <a:latin typeface="Meiryo UI" panose="020B0604030504040204" pitchFamily="50" charset="-128"/>
              <a:ea typeface="Meiryo UI" panose="020B0604030504040204" pitchFamily="50" charset="-128"/>
            </a:rPr>
            <a:t>2F </a:t>
          </a:r>
          <a:r>
            <a:rPr kumimoji="1" lang="ja-JP" altLang="en-US" sz="1000">
              <a:solidFill>
                <a:schemeClr val="tx1"/>
              </a:solidFill>
              <a:latin typeface="Meiryo UI" panose="020B0604030504040204" pitchFamily="50" charset="-128"/>
              <a:ea typeface="Meiryo UI" panose="020B0604030504040204" pitchFamily="50" charset="-128"/>
            </a:rPr>
            <a:t>会議室 オリーブ</a:t>
          </a:r>
          <a:r>
            <a:rPr kumimoji="1" lang="en-US" altLang="ja-JP" sz="1000">
              <a:solidFill>
                <a:schemeClr val="tx1"/>
              </a:solidFill>
              <a:latin typeface="Meiryo UI" panose="020B0604030504040204" pitchFamily="50" charset="-128"/>
              <a:ea typeface="Meiryo UI" panose="020B0604030504040204" pitchFamily="50" charset="-128"/>
            </a:rPr>
            <a:t>; </a:t>
          </a:r>
          <a:endParaRPr kumimoji="1" lang="ja-JP" altLang="en-US"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48</xdr:col>
      <xdr:colOff>111672</xdr:colOff>
      <xdr:row>25</xdr:row>
      <xdr:rowOff>151086</xdr:rowOff>
    </xdr:from>
    <xdr:to>
      <xdr:col>49</xdr:col>
      <xdr:colOff>94603</xdr:colOff>
      <xdr:row>25</xdr:row>
      <xdr:rowOff>331086</xdr:rowOff>
    </xdr:to>
    <xdr:grpSp>
      <xdr:nvGrpSpPr>
        <xdr:cNvPr id="47" name="グループ化 46">
          <a:extLst>
            <a:ext uri="{FF2B5EF4-FFF2-40B4-BE49-F238E27FC236}">
              <a16:creationId xmlns:a16="http://schemas.microsoft.com/office/drawing/2014/main" id="{700911B1-FC1B-48FF-BDE5-BDEF168D5812}"/>
            </a:ext>
          </a:extLst>
        </xdr:cNvPr>
        <xdr:cNvGrpSpPr/>
      </xdr:nvGrpSpPr>
      <xdr:grpSpPr>
        <a:xfrm>
          <a:off x="9644292" y="8906466"/>
          <a:ext cx="181051" cy="180000"/>
          <a:chOff x="5358916" y="2163176"/>
          <a:chExt cx="201690" cy="208974"/>
        </a:xfrm>
      </xdr:grpSpPr>
      <xdr:sp macro="" textlink="">
        <xdr:nvSpPr>
          <xdr:cNvPr id="48" name="四角形: 角を丸くする 47">
            <a:extLst>
              <a:ext uri="{FF2B5EF4-FFF2-40B4-BE49-F238E27FC236}">
                <a16:creationId xmlns:a16="http://schemas.microsoft.com/office/drawing/2014/main" id="{25D245F5-C7CA-FB23-CD92-9F4A797CD804}"/>
              </a:ext>
            </a:extLst>
          </xdr:cNvPr>
          <xdr:cNvSpPr/>
        </xdr:nvSpPr>
        <xdr:spPr>
          <a:xfrm>
            <a:off x="5358916" y="2163176"/>
            <a:ext cx="201690" cy="208974"/>
          </a:xfrm>
          <a:prstGeom prst="roundRect">
            <a:avLst/>
          </a:prstGeom>
          <a:solidFill>
            <a:schemeClr val="bg1">
              <a:lumMod val="85000"/>
            </a:schemeClr>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1100">
              <a:effectLst>
                <a:outerShdw blurRad="50800" dist="38100" dir="5400000" algn="t" rotWithShape="0">
                  <a:prstClr val="black">
                    <a:alpha val="40000"/>
                  </a:prstClr>
                </a:outerShdw>
              </a:effectLst>
              <a:latin typeface="Meiryo UI" panose="020B0604030504040204" pitchFamily="50" charset="-128"/>
              <a:ea typeface="Meiryo UI" panose="020B0604030504040204" pitchFamily="50" charset="-128"/>
            </a:endParaRPr>
          </a:p>
        </xdr:txBody>
      </xdr:sp>
      <xdr:pic>
        <xdr:nvPicPr>
          <xdr:cNvPr id="49" name="図 48">
            <a:extLst>
              <a:ext uri="{FF2B5EF4-FFF2-40B4-BE49-F238E27FC236}">
                <a16:creationId xmlns:a16="http://schemas.microsoft.com/office/drawing/2014/main" id="{30E62064-70FC-F1E9-D438-D758B75ABB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86346" y="2188705"/>
            <a:ext cx="149678" cy="157916"/>
          </a:xfrm>
          <a:prstGeom prst="rect">
            <a:avLst/>
          </a:prstGeom>
        </xdr:spPr>
      </xdr:pic>
    </xdr:grpSp>
    <xdr:clientData/>
  </xdr:twoCellAnchor>
  <xdr:twoCellAnchor>
    <xdr:from>
      <xdr:col>46</xdr:col>
      <xdr:colOff>140354</xdr:colOff>
      <xdr:row>21</xdr:row>
      <xdr:rowOff>324970</xdr:rowOff>
    </xdr:from>
    <xdr:to>
      <xdr:col>50</xdr:col>
      <xdr:colOff>66340</xdr:colOff>
      <xdr:row>22</xdr:row>
      <xdr:rowOff>224116</xdr:rowOff>
    </xdr:to>
    <xdr:sp macro="" textlink="">
      <xdr:nvSpPr>
        <xdr:cNvPr id="50" name="四角形: 角を丸くする 49">
          <a:extLst>
            <a:ext uri="{FF2B5EF4-FFF2-40B4-BE49-F238E27FC236}">
              <a16:creationId xmlns:a16="http://schemas.microsoft.com/office/drawing/2014/main" id="{2EB5E5C8-B7CD-49AE-B6FD-72349C6A4CB5}"/>
            </a:ext>
          </a:extLst>
        </xdr:cNvPr>
        <xdr:cNvSpPr/>
      </xdr:nvSpPr>
      <xdr:spPr>
        <a:xfrm>
          <a:off x="9360554" y="7335370"/>
          <a:ext cx="726086" cy="356346"/>
        </a:xfrm>
        <a:prstGeom prst="roundRect">
          <a:avLst/>
        </a:prstGeom>
        <a:solidFill>
          <a:schemeClr val="bg1">
            <a:lumMod val="85000"/>
          </a:schemeClr>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non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50">
              <a:solidFill>
                <a:schemeClr val="tx1"/>
              </a:solidFill>
              <a:latin typeface="Meiryo UI" panose="020B0604030504040204" pitchFamily="50" charset="-128"/>
              <a:ea typeface="Meiryo UI" panose="020B0604030504040204" pitchFamily="50" charset="-128"/>
            </a:rPr>
            <a:t>登録</a:t>
          </a:r>
          <a:endParaRPr kumimoji="1" lang="en-US" altLang="ja-JP" sz="105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36034</xdr:colOff>
      <xdr:row>14</xdr:row>
      <xdr:rowOff>85725</xdr:rowOff>
    </xdr:from>
    <xdr:to>
      <xdr:col>4</xdr:col>
      <xdr:colOff>78441</xdr:colOff>
      <xdr:row>14</xdr:row>
      <xdr:rowOff>373380</xdr:rowOff>
    </xdr:to>
    <xdr:sp macro="" textlink="">
      <xdr:nvSpPr>
        <xdr:cNvPr id="51" name="四角形: 角を丸くする 50">
          <a:extLst>
            <a:ext uri="{FF2B5EF4-FFF2-40B4-BE49-F238E27FC236}">
              <a16:creationId xmlns:a16="http://schemas.microsoft.com/office/drawing/2014/main" id="{A467EBB3-106C-4AB5-A8C5-4856A8E08EB9}"/>
            </a:ext>
          </a:extLst>
        </xdr:cNvPr>
        <xdr:cNvSpPr/>
      </xdr:nvSpPr>
      <xdr:spPr>
        <a:xfrm>
          <a:off x="237740" y="5330078"/>
          <a:ext cx="647525" cy="287655"/>
        </a:xfrm>
        <a:prstGeom prst="roundRect">
          <a:avLst/>
        </a:prstGeom>
        <a:solidFill>
          <a:schemeClr val="bg1">
            <a:lumMod val="95000"/>
          </a:schemeClr>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non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50">
              <a:solidFill>
                <a:schemeClr val="tx1"/>
              </a:solidFill>
              <a:latin typeface="Meiryo UI" panose="020B0604030504040204" pitchFamily="50" charset="-128"/>
              <a:ea typeface="Meiryo UI" panose="020B0604030504040204" pitchFamily="50" charset="-128"/>
            </a:rPr>
            <a:t>ログオフ</a:t>
          </a:r>
          <a:endParaRPr kumimoji="1" lang="en-US" altLang="ja-JP" sz="105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36034</xdr:colOff>
      <xdr:row>30</xdr:row>
      <xdr:rowOff>85725</xdr:rowOff>
    </xdr:from>
    <xdr:to>
      <xdr:col>4</xdr:col>
      <xdr:colOff>78441</xdr:colOff>
      <xdr:row>30</xdr:row>
      <xdr:rowOff>373380</xdr:rowOff>
    </xdr:to>
    <xdr:sp macro="" textlink="">
      <xdr:nvSpPr>
        <xdr:cNvPr id="55" name="四角形: 角を丸くする 54">
          <a:extLst>
            <a:ext uri="{FF2B5EF4-FFF2-40B4-BE49-F238E27FC236}">
              <a16:creationId xmlns:a16="http://schemas.microsoft.com/office/drawing/2014/main" id="{9C57088B-7989-4B11-9BD4-C4745670030C}"/>
            </a:ext>
          </a:extLst>
        </xdr:cNvPr>
        <xdr:cNvSpPr/>
      </xdr:nvSpPr>
      <xdr:spPr>
        <a:xfrm>
          <a:off x="237740" y="5330078"/>
          <a:ext cx="647525" cy="287655"/>
        </a:xfrm>
        <a:prstGeom prst="roundRect">
          <a:avLst/>
        </a:prstGeom>
        <a:solidFill>
          <a:schemeClr val="bg1">
            <a:lumMod val="95000"/>
          </a:schemeClr>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non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50">
              <a:solidFill>
                <a:schemeClr val="tx1"/>
              </a:solidFill>
              <a:latin typeface="Meiryo UI" panose="020B0604030504040204" pitchFamily="50" charset="-128"/>
              <a:ea typeface="Meiryo UI" panose="020B0604030504040204" pitchFamily="50" charset="-128"/>
            </a:rPr>
            <a:t>ログオフ</a:t>
          </a:r>
          <a:endParaRPr kumimoji="1" lang="en-US" altLang="ja-JP" sz="1050">
            <a:solidFill>
              <a:schemeClr val="tx1"/>
            </a:solidFill>
            <a:latin typeface="Meiryo UI" panose="020B0604030504040204" pitchFamily="50" charset="-128"/>
            <a:ea typeface="Meiryo UI" panose="020B0604030504040204" pitchFamily="50" charset="-128"/>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0</xdr:colOff>
      <xdr:row>6</xdr:row>
      <xdr:rowOff>0</xdr:rowOff>
    </xdr:from>
    <xdr:to>
      <xdr:col>19</xdr:col>
      <xdr:colOff>123828</xdr:colOff>
      <xdr:row>6</xdr:row>
      <xdr:rowOff>180000</xdr:rowOff>
    </xdr:to>
    <xdr:sp macro="" textlink="">
      <xdr:nvSpPr>
        <xdr:cNvPr id="2" name="四角形: 角を丸くする 1">
          <a:extLst>
            <a:ext uri="{FF2B5EF4-FFF2-40B4-BE49-F238E27FC236}">
              <a16:creationId xmlns:a16="http://schemas.microsoft.com/office/drawing/2014/main" id="{96DE39E6-07BA-4BD0-92B7-F435A814A177}"/>
            </a:ext>
          </a:extLst>
        </xdr:cNvPr>
        <xdr:cNvSpPr/>
      </xdr:nvSpPr>
      <xdr:spPr>
        <a:xfrm>
          <a:off x="1584960" y="1143000"/>
          <a:ext cx="2303148" cy="180000"/>
        </a:xfrm>
        <a:prstGeom prst="roundRect">
          <a:avLst/>
        </a:prstGeom>
        <a:solidFill>
          <a:schemeClr val="bg1"/>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11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0</xdr:colOff>
      <xdr:row>8</xdr:row>
      <xdr:rowOff>10883</xdr:rowOff>
    </xdr:from>
    <xdr:to>
      <xdr:col>23</xdr:col>
      <xdr:colOff>64354</xdr:colOff>
      <xdr:row>8</xdr:row>
      <xdr:rowOff>188836</xdr:rowOff>
    </xdr:to>
    <xdr:grpSp>
      <xdr:nvGrpSpPr>
        <xdr:cNvPr id="3" name="グループ化 2">
          <a:extLst>
            <a:ext uri="{FF2B5EF4-FFF2-40B4-BE49-F238E27FC236}">
              <a16:creationId xmlns:a16="http://schemas.microsoft.com/office/drawing/2014/main" id="{FD4C5600-832A-498C-8C06-F091DE21A6FE}"/>
            </a:ext>
          </a:extLst>
        </xdr:cNvPr>
        <xdr:cNvGrpSpPr/>
      </xdr:nvGrpSpPr>
      <xdr:grpSpPr>
        <a:xfrm>
          <a:off x="1584960" y="1534883"/>
          <a:ext cx="3036154" cy="177953"/>
          <a:chOff x="1600200" y="2274369"/>
          <a:chExt cx="3064729" cy="180187"/>
        </a:xfrm>
      </xdr:grpSpPr>
      <xdr:sp macro="" textlink="">
        <xdr:nvSpPr>
          <xdr:cNvPr id="4" name="四角形: 角を丸くする 3">
            <a:extLst>
              <a:ext uri="{FF2B5EF4-FFF2-40B4-BE49-F238E27FC236}">
                <a16:creationId xmlns:a16="http://schemas.microsoft.com/office/drawing/2014/main" id="{35DCF5AC-4A6B-D69F-5FD9-1D0F61D33C88}"/>
              </a:ext>
            </a:extLst>
          </xdr:cNvPr>
          <xdr:cNvSpPr/>
        </xdr:nvSpPr>
        <xdr:spPr>
          <a:xfrm>
            <a:off x="1600200" y="2275730"/>
            <a:ext cx="2438402" cy="178826"/>
          </a:xfrm>
          <a:prstGeom prst="roundRect">
            <a:avLst/>
          </a:prstGeom>
          <a:solidFill>
            <a:schemeClr val="bg1"/>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1100">
              <a:solidFill>
                <a:schemeClr val="tx1"/>
              </a:solidFill>
              <a:latin typeface="Meiryo UI" panose="020B0604030504040204" pitchFamily="50" charset="-128"/>
              <a:ea typeface="Meiryo UI" panose="020B0604030504040204" pitchFamily="50" charset="-128"/>
            </a:endParaRPr>
          </a:p>
        </xdr:txBody>
      </xdr:sp>
      <xdr:sp macro="" textlink="">
        <xdr:nvSpPr>
          <xdr:cNvPr id="5" name="四角形: 角を丸くする 4">
            <a:extLst>
              <a:ext uri="{FF2B5EF4-FFF2-40B4-BE49-F238E27FC236}">
                <a16:creationId xmlns:a16="http://schemas.microsoft.com/office/drawing/2014/main" id="{01B222C3-15DD-50F5-24FF-5C3EF34A3495}"/>
              </a:ext>
            </a:extLst>
          </xdr:cNvPr>
          <xdr:cNvSpPr/>
        </xdr:nvSpPr>
        <xdr:spPr>
          <a:xfrm>
            <a:off x="4160104" y="2274369"/>
            <a:ext cx="504825" cy="178826"/>
          </a:xfrm>
          <a:prstGeom prst="roundRect">
            <a:avLst/>
          </a:prstGeom>
          <a:solidFill>
            <a:schemeClr val="bg1">
              <a:lumMod val="85000"/>
            </a:schemeClr>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non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50">
                <a:solidFill>
                  <a:schemeClr val="tx1"/>
                </a:solidFill>
                <a:latin typeface="Meiryo UI" panose="020B0604030504040204" pitchFamily="50" charset="-128"/>
                <a:ea typeface="Meiryo UI" panose="020B0604030504040204" pitchFamily="50" charset="-128"/>
              </a:rPr>
              <a:t>検索</a:t>
            </a:r>
            <a:endParaRPr kumimoji="1" lang="en-US" altLang="ja-JP" sz="1050">
              <a:solidFill>
                <a:schemeClr val="tx1"/>
              </a:solidFill>
              <a:latin typeface="Meiryo UI" panose="020B0604030504040204" pitchFamily="50" charset="-128"/>
              <a:ea typeface="Meiryo UI" panose="020B0604030504040204" pitchFamily="50" charset="-128"/>
            </a:endParaRPr>
          </a:p>
        </xdr:txBody>
      </xdr:sp>
    </xdr:grpSp>
    <xdr:clientData/>
  </xdr:twoCellAnchor>
  <xdr:twoCellAnchor editAs="oneCell">
    <xdr:from>
      <xdr:col>7</xdr:col>
      <xdr:colOff>190501</xdr:colOff>
      <xdr:row>20</xdr:row>
      <xdr:rowOff>124558</xdr:rowOff>
    </xdr:from>
    <xdr:to>
      <xdr:col>50</xdr:col>
      <xdr:colOff>183174</xdr:colOff>
      <xdr:row>21</xdr:row>
      <xdr:rowOff>143607</xdr:rowOff>
    </xdr:to>
    <xdr:pic>
      <xdr:nvPicPr>
        <xdr:cNvPr id="6" name="図 5">
          <a:extLst>
            <a:ext uri="{FF2B5EF4-FFF2-40B4-BE49-F238E27FC236}">
              <a16:creationId xmlns:a16="http://schemas.microsoft.com/office/drawing/2014/main" id="{72FA3AD4-0607-49E7-814E-765B3A4157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5289" y="4081096"/>
          <a:ext cx="8521212" cy="216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15</xdr:row>
      <xdr:rowOff>0</xdr:rowOff>
    </xdr:from>
    <xdr:to>
      <xdr:col>13</xdr:col>
      <xdr:colOff>38121</xdr:colOff>
      <xdr:row>15</xdr:row>
      <xdr:rowOff>180000</xdr:rowOff>
    </xdr:to>
    <xdr:grpSp>
      <xdr:nvGrpSpPr>
        <xdr:cNvPr id="7" name="グループ化 6">
          <a:extLst>
            <a:ext uri="{FF2B5EF4-FFF2-40B4-BE49-F238E27FC236}">
              <a16:creationId xmlns:a16="http://schemas.microsoft.com/office/drawing/2014/main" id="{0B7B2F6A-6829-40C1-82EF-128772B90F96}"/>
            </a:ext>
          </a:extLst>
        </xdr:cNvPr>
        <xdr:cNvGrpSpPr/>
      </xdr:nvGrpSpPr>
      <xdr:grpSpPr>
        <a:xfrm>
          <a:off x="1584960" y="2857500"/>
          <a:ext cx="1028721" cy="180000"/>
          <a:chOff x="6614160" y="3495441"/>
          <a:chExt cx="1032034" cy="180000"/>
        </a:xfrm>
      </xdr:grpSpPr>
      <xdr:sp macro="" textlink="">
        <xdr:nvSpPr>
          <xdr:cNvPr id="8" name="四角形: 角を丸くする 7">
            <a:extLst>
              <a:ext uri="{FF2B5EF4-FFF2-40B4-BE49-F238E27FC236}">
                <a16:creationId xmlns:a16="http://schemas.microsoft.com/office/drawing/2014/main" id="{B979A563-1ED7-08CB-459F-74E14122F82D}"/>
              </a:ext>
            </a:extLst>
          </xdr:cNvPr>
          <xdr:cNvSpPr/>
        </xdr:nvSpPr>
        <xdr:spPr>
          <a:xfrm>
            <a:off x="6614160" y="3495441"/>
            <a:ext cx="1032034" cy="180000"/>
          </a:xfrm>
          <a:prstGeom prst="roundRect">
            <a:avLst/>
          </a:prstGeom>
          <a:solidFill>
            <a:schemeClr val="bg1"/>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indent="0" algn="l" defTabSz="914400" rtl="0" eaLnBrk="1" latinLnBrk="0" hangingPunct="1">
              <a:defRPr kumimoji="1" sz="1800" kern="1200">
                <a:solidFill>
                  <a:schemeClr val="lt1"/>
                </a:solidFill>
                <a:latin typeface="+mn-lt"/>
                <a:ea typeface="+mn-ea"/>
                <a:cs typeface="+mn-cs"/>
              </a:defRPr>
            </a:lvl1pPr>
            <a:lvl2pPr marL="457200" indent="0" algn="l" defTabSz="914400" rtl="0" eaLnBrk="1" latinLnBrk="0" hangingPunct="1">
              <a:defRPr kumimoji="1" sz="1800" kern="1200">
                <a:solidFill>
                  <a:schemeClr val="lt1"/>
                </a:solidFill>
                <a:latin typeface="+mn-lt"/>
                <a:ea typeface="+mn-ea"/>
                <a:cs typeface="+mn-cs"/>
              </a:defRPr>
            </a:lvl2pPr>
            <a:lvl3pPr marL="914400" indent="0" algn="l" defTabSz="914400" rtl="0" eaLnBrk="1" latinLnBrk="0" hangingPunct="1">
              <a:defRPr kumimoji="1" sz="1800" kern="1200">
                <a:solidFill>
                  <a:schemeClr val="lt1"/>
                </a:solidFill>
                <a:latin typeface="+mn-lt"/>
                <a:ea typeface="+mn-ea"/>
                <a:cs typeface="+mn-cs"/>
              </a:defRPr>
            </a:lvl3pPr>
            <a:lvl4pPr marL="1371600" indent="0" algn="l" defTabSz="914400" rtl="0" eaLnBrk="1" latinLnBrk="0" hangingPunct="1">
              <a:defRPr kumimoji="1" sz="1800" kern="1200">
                <a:solidFill>
                  <a:schemeClr val="lt1"/>
                </a:solidFill>
                <a:latin typeface="+mn-lt"/>
                <a:ea typeface="+mn-ea"/>
                <a:cs typeface="+mn-cs"/>
              </a:defRPr>
            </a:lvl4pPr>
            <a:lvl5pPr marL="1828800" indent="0" algn="l" defTabSz="914400" rtl="0" eaLnBrk="1" latinLnBrk="0" hangingPunct="1">
              <a:defRPr kumimoji="1" sz="1800" kern="1200">
                <a:solidFill>
                  <a:schemeClr val="lt1"/>
                </a:solidFill>
                <a:latin typeface="+mn-lt"/>
                <a:ea typeface="+mn-ea"/>
                <a:cs typeface="+mn-cs"/>
              </a:defRPr>
            </a:lvl5pPr>
            <a:lvl6pPr marL="2286000" indent="0" algn="l" defTabSz="914400" rtl="0" eaLnBrk="1" latinLnBrk="0" hangingPunct="1">
              <a:defRPr kumimoji="1" sz="1800" kern="1200">
                <a:solidFill>
                  <a:schemeClr val="lt1"/>
                </a:solidFill>
                <a:latin typeface="+mn-lt"/>
                <a:ea typeface="+mn-ea"/>
                <a:cs typeface="+mn-cs"/>
              </a:defRPr>
            </a:lvl6pPr>
            <a:lvl7pPr marL="2743200" indent="0" algn="l" defTabSz="914400" rtl="0" eaLnBrk="1" latinLnBrk="0" hangingPunct="1">
              <a:defRPr kumimoji="1" sz="1800" kern="1200">
                <a:solidFill>
                  <a:schemeClr val="lt1"/>
                </a:solidFill>
                <a:latin typeface="+mn-lt"/>
                <a:ea typeface="+mn-ea"/>
                <a:cs typeface="+mn-cs"/>
              </a:defRPr>
            </a:lvl7pPr>
            <a:lvl8pPr marL="3200400" indent="0" algn="l" defTabSz="914400" rtl="0" eaLnBrk="1" latinLnBrk="0" hangingPunct="1">
              <a:defRPr kumimoji="1" sz="1800" kern="1200">
                <a:solidFill>
                  <a:schemeClr val="lt1"/>
                </a:solidFill>
                <a:latin typeface="+mn-lt"/>
                <a:ea typeface="+mn-ea"/>
                <a:cs typeface="+mn-cs"/>
              </a:defRPr>
            </a:lvl8pPr>
            <a:lvl9pPr marL="3657600" indent="0" algn="l" defTabSz="914400" rtl="0" eaLnBrk="1" latinLnBrk="0" hangingPunct="1">
              <a:defRPr kumimoji="1" sz="1800" kern="1200">
                <a:solidFill>
                  <a:schemeClr val="lt1"/>
                </a:solidFill>
                <a:latin typeface="+mn-lt"/>
                <a:ea typeface="+mn-ea"/>
                <a:cs typeface="+mn-cs"/>
              </a:defRPr>
            </a:lvl9pPr>
          </a:lstStyle>
          <a:p>
            <a:pPr algn="ctr"/>
            <a:endParaRPr kumimoji="1" lang="ja-JP" altLang="en-US" sz="1100">
              <a:solidFill>
                <a:schemeClr val="tx1"/>
              </a:solidFill>
              <a:latin typeface="Meiryo UI" panose="020B0604030504040204" pitchFamily="50" charset="-128"/>
              <a:ea typeface="Meiryo UI" panose="020B0604030504040204" pitchFamily="50" charset="-128"/>
            </a:endParaRPr>
          </a:p>
        </xdr:txBody>
      </xdr:sp>
      <xdr:sp macro="" textlink="">
        <xdr:nvSpPr>
          <xdr:cNvPr id="9" name="二等辺三角形 8">
            <a:extLst>
              <a:ext uri="{FF2B5EF4-FFF2-40B4-BE49-F238E27FC236}">
                <a16:creationId xmlns:a16="http://schemas.microsoft.com/office/drawing/2014/main" id="{A70D170C-A6CC-16EA-21CF-83FCDD17FC82}"/>
              </a:ext>
            </a:extLst>
          </xdr:cNvPr>
          <xdr:cNvSpPr/>
        </xdr:nvSpPr>
        <xdr:spPr>
          <a:xfrm rot="10800000">
            <a:off x="7494705" y="3551504"/>
            <a:ext cx="108000" cy="90000"/>
          </a:xfrm>
          <a:prstGeom prst="triangl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Meiryo UI" panose="020B0604030504040204" pitchFamily="50" charset="-128"/>
              <a:ea typeface="Meiryo UI" panose="020B0604030504040204" pitchFamily="50" charset="-128"/>
            </a:endParaRPr>
          </a:p>
        </xdr:txBody>
      </xdr:sp>
    </xdr:grpSp>
    <xdr:clientData/>
  </xdr:twoCellAnchor>
  <xdr:twoCellAnchor>
    <xdr:from>
      <xdr:col>8</xdr:col>
      <xdr:colOff>0</xdr:colOff>
      <xdr:row>17</xdr:row>
      <xdr:rowOff>0</xdr:rowOff>
    </xdr:from>
    <xdr:to>
      <xdr:col>11</xdr:col>
      <xdr:colOff>54122</xdr:colOff>
      <xdr:row>18</xdr:row>
      <xdr:rowOff>21657</xdr:rowOff>
    </xdr:to>
    <xdr:grpSp>
      <xdr:nvGrpSpPr>
        <xdr:cNvPr id="10" name="グループ化 9">
          <a:extLst>
            <a:ext uri="{FF2B5EF4-FFF2-40B4-BE49-F238E27FC236}">
              <a16:creationId xmlns:a16="http://schemas.microsoft.com/office/drawing/2014/main" id="{60F0C724-43E1-4D8E-A80F-6BF6359B67BF}"/>
            </a:ext>
          </a:extLst>
        </xdr:cNvPr>
        <xdr:cNvGrpSpPr/>
      </xdr:nvGrpSpPr>
      <xdr:grpSpPr>
        <a:xfrm>
          <a:off x="1584960" y="3238500"/>
          <a:ext cx="648482" cy="212157"/>
          <a:chOff x="5588793" y="3874002"/>
          <a:chExt cx="650470" cy="220440"/>
        </a:xfrm>
      </xdr:grpSpPr>
      <xdr:pic>
        <xdr:nvPicPr>
          <xdr:cNvPr id="11" name="図 10">
            <a:extLst>
              <a:ext uri="{FF2B5EF4-FFF2-40B4-BE49-F238E27FC236}">
                <a16:creationId xmlns:a16="http://schemas.microsoft.com/office/drawing/2014/main" id="{F303AC5E-DB98-AD52-2B23-A13D489F9F38}"/>
              </a:ext>
            </a:extLst>
          </xdr:cNvPr>
          <xdr:cNvPicPr>
            <a:picLocks noChangeAspect="1"/>
          </xdr:cNvPicPr>
        </xdr:nvPicPr>
        <xdr:blipFill>
          <a:blip xmlns:r="http://schemas.openxmlformats.org/officeDocument/2006/relationships" r:embed="rId2"/>
          <a:srcRect l="16675" t="8528" r="15317" b="22350"/>
          <a:stretch>
            <a:fillRect/>
          </a:stretch>
        </xdr:blipFill>
        <xdr:spPr>
          <a:xfrm>
            <a:off x="5588793" y="3898887"/>
            <a:ext cx="176213" cy="170670"/>
          </a:xfrm>
          <a:prstGeom prst="rect">
            <a:avLst/>
          </a:prstGeom>
        </xdr:spPr>
      </xdr:pic>
      <xdr:sp macro="" textlink="">
        <xdr:nvSpPr>
          <xdr:cNvPr id="12" name="四角形: 角を丸くする 11">
            <a:extLst>
              <a:ext uri="{FF2B5EF4-FFF2-40B4-BE49-F238E27FC236}">
                <a16:creationId xmlns:a16="http://schemas.microsoft.com/office/drawing/2014/main" id="{8F0F0F27-517F-FC9A-2EA3-604ABB4F327A}"/>
              </a:ext>
            </a:extLst>
          </xdr:cNvPr>
          <xdr:cNvSpPr/>
        </xdr:nvSpPr>
        <xdr:spPr>
          <a:xfrm>
            <a:off x="5800319" y="3874002"/>
            <a:ext cx="438944" cy="220440"/>
          </a:xfrm>
          <a:prstGeom prst="roundRect">
            <a:avLst/>
          </a:prstGeom>
          <a:noFill/>
          <a:ln w="6350">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0"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nSpc>
                <a:spcPts val="1000"/>
              </a:lnSpc>
            </a:pPr>
            <a:r>
              <a:rPr lang="ja-JP" altLang="en-US" sz="1000">
                <a:solidFill>
                  <a:schemeClr val="tx1"/>
                </a:solidFill>
                <a:latin typeface="Meiryo UI" panose="020B0604030504040204" pitchFamily="50" charset="-128"/>
                <a:ea typeface="Meiryo UI" panose="020B0604030504040204" pitchFamily="50" charset="-128"/>
              </a:rPr>
              <a:t>ラベル</a:t>
            </a:r>
            <a:endParaRPr kumimoji="1" lang="ja-JP" altLang="en-US" sz="1000">
              <a:solidFill>
                <a:schemeClr val="tx1"/>
              </a:solidFill>
              <a:latin typeface="Meiryo UI" panose="020B0604030504040204" pitchFamily="50" charset="-128"/>
              <a:ea typeface="Meiryo UI" panose="020B0604030504040204" pitchFamily="50" charset="-128"/>
            </a:endParaRPr>
          </a:p>
        </xdr:txBody>
      </xdr:sp>
    </xdr:grpSp>
    <xdr:clientData/>
  </xdr:twoCellAnchor>
  <xdr:twoCellAnchor>
    <xdr:from>
      <xdr:col>11</xdr:col>
      <xdr:colOff>165648</xdr:colOff>
      <xdr:row>17</xdr:row>
      <xdr:rowOff>0</xdr:rowOff>
    </xdr:from>
    <xdr:to>
      <xdr:col>15</xdr:col>
      <xdr:colOff>6326</xdr:colOff>
      <xdr:row>18</xdr:row>
      <xdr:rowOff>21657</xdr:rowOff>
    </xdr:to>
    <xdr:grpSp>
      <xdr:nvGrpSpPr>
        <xdr:cNvPr id="13" name="グループ化 12">
          <a:extLst>
            <a:ext uri="{FF2B5EF4-FFF2-40B4-BE49-F238E27FC236}">
              <a16:creationId xmlns:a16="http://schemas.microsoft.com/office/drawing/2014/main" id="{E1AA7889-A154-4D20-9995-8FAC475C303B}"/>
            </a:ext>
          </a:extLst>
        </xdr:cNvPr>
        <xdr:cNvGrpSpPr/>
      </xdr:nvGrpSpPr>
      <xdr:grpSpPr>
        <a:xfrm>
          <a:off x="2344968" y="3238500"/>
          <a:ext cx="633158" cy="212157"/>
          <a:chOff x="6350789" y="3874002"/>
          <a:chExt cx="635808" cy="220440"/>
        </a:xfrm>
      </xdr:grpSpPr>
      <xdr:pic>
        <xdr:nvPicPr>
          <xdr:cNvPr id="14" name="図 13">
            <a:extLst>
              <a:ext uri="{FF2B5EF4-FFF2-40B4-BE49-F238E27FC236}">
                <a16:creationId xmlns:a16="http://schemas.microsoft.com/office/drawing/2014/main" id="{B0256F12-CBF0-65EB-B89A-812065D003F8}"/>
              </a:ext>
            </a:extLst>
          </xdr:cNvPr>
          <xdr:cNvPicPr>
            <a:picLocks noChangeAspect="1"/>
          </xdr:cNvPicPr>
        </xdr:nvPicPr>
        <xdr:blipFill>
          <a:blip xmlns:r="http://schemas.openxmlformats.org/officeDocument/2006/relationships" r:embed="rId3"/>
          <a:stretch>
            <a:fillRect/>
          </a:stretch>
        </xdr:blipFill>
        <xdr:spPr>
          <a:xfrm>
            <a:off x="6350789" y="3908015"/>
            <a:ext cx="152414" cy="152414"/>
          </a:xfrm>
          <a:prstGeom prst="rect">
            <a:avLst/>
          </a:prstGeom>
        </xdr:spPr>
      </xdr:pic>
      <xdr:sp macro="" textlink="">
        <xdr:nvSpPr>
          <xdr:cNvPr id="15" name="四角形: 角を丸くする 14">
            <a:extLst>
              <a:ext uri="{FF2B5EF4-FFF2-40B4-BE49-F238E27FC236}">
                <a16:creationId xmlns:a16="http://schemas.microsoft.com/office/drawing/2014/main" id="{91230D46-FB5B-9E70-826D-09B7E3453F80}"/>
              </a:ext>
            </a:extLst>
          </xdr:cNvPr>
          <xdr:cNvSpPr/>
        </xdr:nvSpPr>
        <xdr:spPr>
          <a:xfrm>
            <a:off x="6547653" y="3874002"/>
            <a:ext cx="438944" cy="220440"/>
          </a:xfrm>
          <a:prstGeom prst="roundRect">
            <a:avLst/>
          </a:prstGeom>
          <a:noFill/>
          <a:ln w="6350">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0"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nSpc>
                <a:spcPts val="1000"/>
              </a:lnSpc>
            </a:pPr>
            <a:r>
              <a:rPr lang="ja-JP" altLang="en-US" sz="1000">
                <a:solidFill>
                  <a:schemeClr val="tx1"/>
                </a:solidFill>
                <a:latin typeface="Meiryo UI" panose="020B0604030504040204" pitchFamily="50" charset="-128"/>
                <a:ea typeface="Meiryo UI" panose="020B0604030504040204" pitchFamily="50" charset="-128"/>
              </a:rPr>
              <a:t>ラベル</a:t>
            </a:r>
            <a:endParaRPr kumimoji="1" lang="ja-JP" altLang="en-US" sz="1000">
              <a:solidFill>
                <a:schemeClr val="tx1"/>
              </a:solidFill>
              <a:latin typeface="Meiryo UI" panose="020B0604030504040204" pitchFamily="50" charset="-128"/>
              <a:ea typeface="Meiryo UI" panose="020B0604030504040204" pitchFamily="50" charset="-128"/>
            </a:endParaRPr>
          </a:p>
        </xdr:txBody>
      </xdr:sp>
    </xdr:grpSp>
    <xdr:clientData/>
  </xdr:twoCellAnchor>
  <xdr:twoCellAnchor>
    <xdr:from>
      <xdr:col>8</xdr:col>
      <xdr:colOff>0</xdr:colOff>
      <xdr:row>19</xdr:row>
      <xdr:rowOff>17393</xdr:rowOff>
    </xdr:from>
    <xdr:to>
      <xdr:col>11</xdr:col>
      <xdr:colOff>61634</xdr:colOff>
      <xdr:row>20</xdr:row>
      <xdr:rowOff>40006</xdr:rowOff>
    </xdr:to>
    <xdr:grpSp>
      <xdr:nvGrpSpPr>
        <xdr:cNvPr id="16" name="グループ化 15">
          <a:extLst>
            <a:ext uri="{FF2B5EF4-FFF2-40B4-BE49-F238E27FC236}">
              <a16:creationId xmlns:a16="http://schemas.microsoft.com/office/drawing/2014/main" id="{CF4F54CB-CEEE-4FEF-AC4F-84C6E2A365C5}"/>
            </a:ext>
          </a:extLst>
        </xdr:cNvPr>
        <xdr:cNvGrpSpPr/>
      </xdr:nvGrpSpPr>
      <xdr:grpSpPr>
        <a:xfrm>
          <a:off x="1584960" y="3636893"/>
          <a:ext cx="655994" cy="213113"/>
          <a:chOff x="5584148" y="4358530"/>
          <a:chExt cx="655115" cy="220440"/>
        </a:xfrm>
      </xdr:grpSpPr>
      <xdr:sp macro="" textlink="">
        <xdr:nvSpPr>
          <xdr:cNvPr id="17" name="四角形: 角を丸くする 16">
            <a:extLst>
              <a:ext uri="{FF2B5EF4-FFF2-40B4-BE49-F238E27FC236}">
                <a16:creationId xmlns:a16="http://schemas.microsoft.com/office/drawing/2014/main" id="{9FB9CA3A-5E50-3815-B809-577560AFDBE5}"/>
              </a:ext>
            </a:extLst>
          </xdr:cNvPr>
          <xdr:cNvSpPr/>
        </xdr:nvSpPr>
        <xdr:spPr>
          <a:xfrm>
            <a:off x="5584148" y="4375150"/>
            <a:ext cx="152414" cy="152414"/>
          </a:xfrm>
          <a:prstGeom prst="roundRect">
            <a:avLst>
              <a:gd name="adj" fmla="val 13643"/>
            </a:avLst>
          </a:prstGeom>
          <a:solidFill>
            <a:schemeClr val="bg1"/>
          </a:solidFill>
          <a:ln w="12700">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000">
                <a:solidFill>
                  <a:schemeClr val="tx1"/>
                </a:solidFill>
                <a:latin typeface="Meiryo UI" panose="020B0604030504040204" pitchFamily="50" charset="-128"/>
                <a:ea typeface="Meiryo UI" panose="020B0604030504040204" pitchFamily="50" charset="-128"/>
              </a:rPr>
              <a:t>✔</a:t>
            </a: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18" name="四角形: 角を丸くする 17">
            <a:extLst>
              <a:ext uri="{FF2B5EF4-FFF2-40B4-BE49-F238E27FC236}">
                <a16:creationId xmlns:a16="http://schemas.microsoft.com/office/drawing/2014/main" id="{5460B235-A932-446E-9B54-7503428845AF}"/>
              </a:ext>
            </a:extLst>
          </xdr:cNvPr>
          <xdr:cNvSpPr/>
        </xdr:nvSpPr>
        <xdr:spPr>
          <a:xfrm>
            <a:off x="5800319" y="4358530"/>
            <a:ext cx="438944" cy="220440"/>
          </a:xfrm>
          <a:prstGeom prst="roundRect">
            <a:avLst/>
          </a:prstGeom>
          <a:noFill/>
          <a:ln w="6350">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0"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nSpc>
                <a:spcPts val="1000"/>
              </a:lnSpc>
            </a:pPr>
            <a:r>
              <a:rPr lang="ja-JP" altLang="en-US" sz="1000">
                <a:solidFill>
                  <a:schemeClr val="tx1"/>
                </a:solidFill>
                <a:latin typeface="Meiryo UI" panose="020B0604030504040204" pitchFamily="50" charset="-128"/>
                <a:ea typeface="Meiryo UI" panose="020B0604030504040204" pitchFamily="50" charset="-128"/>
              </a:rPr>
              <a:t>ラベル</a:t>
            </a:r>
            <a:endParaRPr kumimoji="1" lang="ja-JP" altLang="en-US" sz="1000">
              <a:solidFill>
                <a:schemeClr val="tx1"/>
              </a:solidFill>
              <a:latin typeface="Meiryo UI" panose="020B0604030504040204" pitchFamily="50" charset="-128"/>
              <a:ea typeface="Meiryo UI" panose="020B0604030504040204" pitchFamily="50" charset="-128"/>
            </a:endParaRPr>
          </a:p>
        </xdr:txBody>
      </xdr:sp>
    </xdr:grpSp>
    <xdr:clientData/>
  </xdr:twoCellAnchor>
  <xdr:twoCellAnchor>
    <xdr:from>
      <xdr:col>11</xdr:col>
      <xdr:colOff>149425</xdr:colOff>
      <xdr:row>19</xdr:row>
      <xdr:rowOff>0</xdr:rowOff>
    </xdr:from>
    <xdr:to>
      <xdr:col>15</xdr:col>
      <xdr:colOff>17660</xdr:colOff>
      <xdr:row>20</xdr:row>
      <xdr:rowOff>22613</xdr:rowOff>
    </xdr:to>
    <xdr:grpSp>
      <xdr:nvGrpSpPr>
        <xdr:cNvPr id="19" name="グループ化 18">
          <a:extLst>
            <a:ext uri="{FF2B5EF4-FFF2-40B4-BE49-F238E27FC236}">
              <a16:creationId xmlns:a16="http://schemas.microsoft.com/office/drawing/2014/main" id="{7F552400-B1A0-489F-B553-339F9B1C94E6}"/>
            </a:ext>
          </a:extLst>
        </xdr:cNvPr>
        <xdr:cNvGrpSpPr/>
      </xdr:nvGrpSpPr>
      <xdr:grpSpPr>
        <a:xfrm>
          <a:off x="2328745" y="3619500"/>
          <a:ext cx="660715" cy="213113"/>
          <a:chOff x="6327054" y="4341137"/>
          <a:chExt cx="659543" cy="220440"/>
        </a:xfrm>
      </xdr:grpSpPr>
      <xdr:sp macro="" textlink="">
        <xdr:nvSpPr>
          <xdr:cNvPr id="20" name="四角形: 角を丸くする 19">
            <a:extLst>
              <a:ext uri="{FF2B5EF4-FFF2-40B4-BE49-F238E27FC236}">
                <a16:creationId xmlns:a16="http://schemas.microsoft.com/office/drawing/2014/main" id="{6F7A0756-94EA-AF92-4286-50E2765FB3A7}"/>
              </a:ext>
            </a:extLst>
          </xdr:cNvPr>
          <xdr:cNvSpPr/>
        </xdr:nvSpPr>
        <xdr:spPr>
          <a:xfrm>
            <a:off x="6327054" y="4375150"/>
            <a:ext cx="152414" cy="152414"/>
          </a:xfrm>
          <a:prstGeom prst="roundRect">
            <a:avLst>
              <a:gd name="adj" fmla="val 13643"/>
            </a:avLst>
          </a:prstGeom>
          <a:solidFill>
            <a:schemeClr val="bg1"/>
          </a:solidFill>
          <a:ln w="12700">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21" name="四角形: 角を丸くする 20">
            <a:extLst>
              <a:ext uri="{FF2B5EF4-FFF2-40B4-BE49-F238E27FC236}">
                <a16:creationId xmlns:a16="http://schemas.microsoft.com/office/drawing/2014/main" id="{F542C516-D6B2-5518-BD7A-CB71A87E820C}"/>
              </a:ext>
            </a:extLst>
          </xdr:cNvPr>
          <xdr:cNvSpPr/>
        </xdr:nvSpPr>
        <xdr:spPr>
          <a:xfrm>
            <a:off x="6547653" y="4341137"/>
            <a:ext cx="438944" cy="220440"/>
          </a:xfrm>
          <a:prstGeom prst="roundRect">
            <a:avLst/>
          </a:prstGeom>
          <a:noFill/>
          <a:ln w="6350">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lIns="0"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nSpc>
                <a:spcPts val="1000"/>
              </a:lnSpc>
            </a:pPr>
            <a:r>
              <a:rPr lang="ja-JP" altLang="en-US" sz="1000">
                <a:solidFill>
                  <a:schemeClr val="tx1"/>
                </a:solidFill>
                <a:latin typeface="Meiryo UI" panose="020B0604030504040204" pitchFamily="50" charset="-128"/>
                <a:ea typeface="Meiryo UI" panose="020B0604030504040204" pitchFamily="50" charset="-128"/>
              </a:rPr>
              <a:t>ラベル</a:t>
            </a:r>
            <a:endParaRPr kumimoji="1" lang="ja-JP" altLang="en-US" sz="1000">
              <a:solidFill>
                <a:schemeClr val="tx1"/>
              </a:solidFill>
              <a:latin typeface="Meiryo UI" panose="020B0604030504040204" pitchFamily="50" charset="-128"/>
              <a:ea typeface="Meiryo UI" panose="020B0604030504040204" pitchFamily="50" charset="-128"/>
            </a:endParaRPr>
          </a:p>
        </xdr:txBody>
      </xdr:sp>
    </xdr:grpSp>
    <xdr:clientData/>
  </xdr:twoCellAnchor>
  <xdr:twoCellAnchor>
    <xdr:from>
      <xdr:col>8</xdr:col>
      <xdr:colOff>0</xdr:colOff>
      <xdr:row>10</xdr:row>
      <xdr:rowOff>0</xdr:rowOff>
    </xdr:from>
    <xdr:to>
      <xdr:col>9</xdr:col>
      <xdr:colOff>31160</xdr:colOff>
      <xdr:row>11</xdr:row>
      <xdr:rowOff>15738</xdr:rowOff>
    </xdr:to>
    <xdr:grpSp>
      <xdr:nvGrpSpPr>
        <xdr:cNvPr id="22" name="グループ化 21">
          <a:extLst>
            <a:ext uri="{FF2B5EF4-FFF2-40B4-BE49-F238E27FC236}">
              <a16:creationId xmlns:a16="http://schemas.microsoft.com/office/drawing/2014/main" id="{43D61B9C-3F24-4EEC-96DA-52E4A2EC97BC}"/>
            </a:ext>
          </a:extLst>
        </xdr:cNvPr>
        <xdr:cNvGrpSpPr/>
      </xdr:nvGrpSpPr>
      <xdr:grpSpPr>
        <a:xfrm>
          <a:off x="1584960" y="1905000"/>
          <a:ext cx="229280" cy="206238"/>
          <a:chOff x="5358916" y="2163176"/>
          <a:chExt cx="201690" cy="208974"/>
        </a:xfrm>
      </xdr:grpSpPr>
      <xdr:sp macro="" textlink="">
        <xdr:nvSpPr>
          <xdr:cNvPr id="23" name="四角形: 角を丸くする 22">
            <a:extLst>
              <a:ext uri="{FF2B5EF4-FFF2-40B4-BE49-F238E27FC236}">
                <a16:creationId xmlns:a16="http://schemas.microsoft.com/office/drawing/2014/main" id="{9A82F6BF-A207-337C-817F-BC7FFF9FF2C9}"/>
              </a:ext>
            </a:extLst>
          </xdr:cNvPr>
          <xdr:cNvSpPr/>
        </xdr:nvSpPr>
        <xdr:spPr>
          <a:xfrm>
            <a:off x="5358916" y="2163176"/>
            <a:ext cx="201690" cy="208974"/>
          </a:xfrm>
          <a:prstGeom prst="roundRect">
            <a:avLst/>
          </a:prstGeom>
          <a:solidFill>
            <a:schemeClr val="bg1">
              <a:lumMod val="85000"/>
            </a:schemeClr>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1100">
              <a:effectLst>
                <a:outerShdw blurRad="50800" dist="38100" dir="5400000" algn="t" rotWithShape="0">
                  <a:prstClr val="black">
                    <a:alpha val="40000"/>
                  </a:prstClr>
                </a:outerShdw>
              </a:effectLst>
              <a:latin typeface="Meiryo UI" panose="020B0604030504040204" pitchFamily="50" charset="-128"/>
              <a:ea typeface="Meiryo UI" panose="020B0604030504040204" pitchFamily="50" charset="-128"/>
            </a:endParaRPr>
          </a:p>
        </xdr:txBody>
      </xdr:sp>
      <xdr:pic>
        <xdr:nvPicPr>
          <xdr:cNvPr id="24" name="図 23">
            <a:extLst>
              <a:ext uri="{FF2B5EF4-FFF2-40B4-BE49-F238E27FC236}">
                <a16:creationId xmlns:a16="http://schemas.microsoft.com/office/drawing/2014/main" id="{F568C950-3767-2A1F-9BD1-DA5218C85D8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386346" y="2188705"/>
            <a:ext cx="149678" cy="157916"/>
          </a:xfrm>
          <a:prstGeom prst="rect">
            <a:avLst/>
          </a:prstGeom>
        </xdr:spPr>
      </xdr:pic>
    </xdr:grpSp>
    <xdr:clientData/>
  </xdr:twoCellAnchor>
  <xdr:twoCellAnchor>
    <xdr:from>
      <xdr:col>8</xdr:col>
      <xdr:colOff>0</xdr:colOff>
      <xdr:row>12</xdr:row>
      <xdr:rowOff>25</xdr:rowOff>
    </xdr:from>
    <xdr:to>
      <xdr:col>13</xdr:col>
      <xdr:colOff>120685</xdr:colOff>
      <xdr:row>12</xdr:row>
      <xdr:rowOff>180025</xdr:rowOff>
    </xdr:to>
    <xdr:grpSp>
      <xdr:nvGrpSpPr>
        <xdr:cNvPr id="25" name="グループ化 24">
          <a:extLst>
            <a:ext uri="{FF2B5EF4-FFF2-40B4-BE49-F238E27FC236}">
              <a16:creationId xmlns:a16="http://schemas.microsoft.com/office/drawing/2014/main" id="{A19F66C7-5D08-468A-B88E-5BCB4968661B}"/>
            </a:ext>
          </a:extLst>
        </xdr:cNvPr>
        <xdr:cNvGrpSpPr/>
      </xdr:nvGrpSpPr>
      <xdr:grpSpPr>
        <a:xfrm>
          <a:off x="1584960" y="2286025"/>
          <a:ext cx="1111285" cy="180000"/>
          <a:chOff x="6019800" y="12334875"/>
          <a:chExt cx="1147674" cy="200445"/>
        </a:xfrm>
      </xdr:grpSpPr>
      <xdr:sp macro="" textlink="">
        <xdr:nvSpPr>
          <xdr:cNvPr id="26" name="四角形: 角を丸くする 25">
            <a:extLst>
              <a:ext uri="{FF2B5EF4-FFF2-40B4-BE49-F238E27FC236}">
                <a16:creationId xmlns:a16="http://schemas.microsoft.com/office/drawing/2014/main" id="{53392466-1962-D403-AFAA-0FF9EB27AFC3}"/>
              </a:ext>
            </a:extLst>
          </xdr:cNvPr>
          <xdr:cNvSpPr/>
        </xdr:nvSpPr>
        <xdr:spPr>
          <a:xfrm>
            <a:off x="6019800" y="12334875"/>
            <a:ext cx="1147674" cy="200445"/>
          </a:xfrm>
          <a:prstGeom prst="roundRect">
            <a:avLst/>
          </a:prstGeom>
          <a:solidFill>
            <a:schemeClr val="bg1"/>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1400">
              <a:solidFill>
                <a:schemeClr val="tx1"/>
              </a:solidFill>
              <a:latin typeface="Meiryo UI" panose="020B0604030504040204" pitchFamily="50" charset="-128"/>
              <a:ea typeface="Meiryo UI" panose="020B0604030504040204" pitchFamily="50" charset="-128"/>
            </a:endParaRPr>
          </a:p>
        </xdr:txBody>
      </xdr:sp>
      <xdr:pic>
        <xdr:nvPicPr>
          <xdr:cNvPr id="27" name="図 26">
            <a:extLst>
              <a:ext uri="{FF2B5EF4-FFF2-40B4-BE49-F238E27FC236}">
                <a16:creationId xmlns:a16="http://schemas.microsoft.com/office/drawing/2014/main" id="{831940BC-0A81-9637-8A62-D94538506F1F}"/>
              </a:ext>
            </a:extLst>
          </xdr:cNvPr>
          <xdr:cNvPicPr>
            <a:picLocks noChangeAspect="1"/>
          </xdr:cNvPicPr>
        </xdr:nvPicPr>
        <xdr:blipFill>
          <a:blip xmlns:r="http://schemas.openxmlformats.org/officeDocument/2006/relationships" r:embed="rId5"/>
          <a:stretch>
            <a:fillRect/>
          </a:stretch>
        </xdr:blipFill>
        <xdr:spPr>
          <a:xfrm>
            <a:off x="6965446" y="12366061"/>
            <a:ext cx="159968" cy="151367"/>
          </a:xfrm>
          <a:prstGeom prst="rect">
            <a:avLst/>
          </a:prstGeom>
        </xdr:spPr>
      </xdr:pic>
    </xdr:grpSp>
    <xdr:clientData/>
  </xdr:twoCellAnchor>
  <xdr:twoCellAnchor>
    <xdr:from>
      <xdr:col>8</xdr:col>
      <xdr:colOff>0</xdr:colOff>
      <xdr:row>4</xdr:row>
      <xdr:rowOff>0</xdr:rowOff>
    </xdr:from>
    <xdr:to>
      <xdr:col>13</xdr:col>
      <xdr:colOff>169715</xdr:colOff>
      <xdr:row>5</xdr:row>
      <xdr:rowOff>42243</xdr:rowOff>
    </xdr:to>
    <xdr:sp macro="" textlink="">
      <xdr:nvSpPr>
        <xdr:cNvPr id="28" name="四角形: 角を丸くする 27">
          <a:extLst>
            <a:ext uri="{FF2B5EF4-FFF2-40B4-BE49-F238E27FC236}">
              <a16:creationId xmlns:a16="http://schemas.microsoft.com/office/drawing/2014/main" id="{7BC58E5A-FC08-42B1-891D-FF5D10CAE935}"/>
            </a:ext>
          </a:extLst>
        </xdr:cNvPr>
        <xdr:cNvSpPr/>
      </xdr:nvSpPr>
      <xdr:spPr>
        <a:xfrm>
          <a:off x="1584960" y="762000"/>
          <a:ext cx="1160315" cy="232743"/>
        </a:xfrm>
        <a:prstGeom prst="roundRect">
          <a:avLst/>
        </a:prstGeom>
        <a:solidFill>
          <a:schemeClr val="bg1">
            <a:lumMod val="85000"/>
          </a:schemeClr>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non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50">
              <a:solidFill>
                <a:schemeClr val="tx1"/>
              </a:solidFill>
              <a:latin typeface="Meiryo UI" panose="020B0604030504040204" pitchFamily="50" charset="-128"/>
              <a:ea typeface="Meiryo UI" panose="020B0604030504040204" pitchFamily="50" charset="-128"/>
            </a:rPr>
            <a:t>ラベル</a:t>
          </a:r>
          <a:endParaRPr kumimoji="1" lang="en-US" altLang="ja-JP" sz="105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10259</xdr:colOff>
      <xdr:row>2</xdr:row>
      <xdr:rowOff>5861</xdr:rowOff>
    </xdr:from>
    <xdr:to>
      <xdr:col>11</xdr:col>
      <xdr:colOff>36636</xdr:colOff>
      <xdr:row>2</xdr:row>
      <xdr:rowOff>193018</xdr:rowOff>
    </xdr:to>
    <xdr:sp macro="" textlink="">
      <xdr:nvSpPr>
        <xdr:cNvPr id="29" name="正方形/長方形 28">
          <a:extLst>
            <a:ext uri="{FF2B5EF4-FFF2-40B4-BE49-F238E27FC236}">
              <a16:creationId xmlns:a16="http://schemas.microsoft.com/office/drawing/2014/main" id="{D77ADB01-2A00-4B00-BC3D-49E195871874}"/>
            </a:ext>
          </a:extLst>
        </xdr:cNvPr>
        <xdr:cNvSpPr/>
      </xdr:nvSpPr>
      <xdr:spPr>
        <a:xfrm>
          <a:off x="1595219" y="386861"/>
          <a:ext cx="620737" cy="187157"/>
        </a:xfrm>
        <a:prstGeom prst="rect">
          <a:avLst/>
        </a:prstGeom>
        <a:solidFill>
          <a:schemeClr val="bg1"/>
        </a:solidFill>
        <a:ln w="6350">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r>
            <a:rPr kumimoji="1" lang="ja-JP" altLang="en-US" sz="1000">
              <a:solidFill>
                <a:schemeClr val="tx1"/>
              </a:solidFill>
              <a:latin typeface="Meiryo UI" panose="020B0604030504040204" pitchFamily="50" charset="-128"/>
              <a:ea typeface="Meiryo UI" panose="020B0604030504040204" pitchFamily="50" charset="-128"/>
            </a:rPr>
            <a:t>ラベル</a:t>
          </a:r>
        </a:p>
      </xdr:txBody>
    </xdr:sp>
    <xdr:clientData/>
  </xdr:twoCellAnchor>
  <xdr:twoCellAnchor editAs="oneCell">
    <xdr:from>
      <xdr:col>9</xdr:col>
      <xdr:colOff>0</xdr:colOff>
      <xdr:row>23</xdr:row>
      <xdr:rowOff>0</xdr:rowOff>
    </xdr:from>
    <xdr:to>
      <xdr:col>14</xdr:col>
      <xdr:colOff>9525</xdr:colOff>
      <xdr:row>24</xdr:row>
      <xdr:rowOff>9525</xdr:rowOff>
    </xdr:to>
    <xdr:pic>
      <xdr:nvPicPr>
        <xdr:cNvPr id="30" name="図 29">
          <a:extLst>
            <a:ext uri="{FF2B5EF4-FFF2-40B4-BE49-F238E27FC236}">
              <a16:creationId xmlns:a16="http://schemas.microsoft.com/office/drawing/2014/main" id="{CD220ACC-E1E8-4230-97CF-0870BE46424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83080" y="4381500"/>
          <a:ext cx="1000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xdr:row>
      <xdr:rowOff>0</xdr:rowOff>
    </xdr:from>
    <xdr:to>
      <xdr:col>18</xdr:col>
      <xdr:colOff>28575</xdr:colOff>
      <xdr:row>25</xdr:row>
      <xdr:rowOff>9525</xdr:rowOff>
    </xdr:to>
    <xdr:pic>
      <xdr:nvPicPr>
        <xdr:cNvPr id="31" name="図 30">
          <a:extLst>
            <a:ext uri="{FF2B5EF4-FFF2-40B4-BE49-F238E27FC236}">
              <a16:creationId xmlns:a16="http://schemas.microsoft.com/office/drawing/2014/main" id="{17998480-31C8-4F96-9A8C-6D45983DDBE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83080" y="4572000"/>
          <a:ext cx="181165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12</xdr:row>
      <xdr:rowOff>171450</xdr:rowOff>
    </xdr:from>
    <xdr:to>
      <xdr:col>17</xdr:col>
      <xdr:colOff>135134</xdr:colOff>
      <xdr:row>14</xdr:row>
      <xdr:rowOff>105735</xdr:rowOff>
    </xdr:to>
    <xdr:grpSp>
      <xdr:nvGrpSpPr>
        <xdr:cNvPr id="32" name="グループ化 31">
          <a:extLst>
            <a:ext uri="{FF2B5EF4-FFF2-40B4-BE49-F238E27FC236}">
              <a16:creationId xmlns:a16="http://schemas.microsoft.com/office/drawing/2014/main" id="{A8C46634-A61F-475E-87C0-9BD6465D8462}"/>
            </a:ext>
          </a:extLst>
        </xdr:cNvPr>
        <xdr:cNvGrpSpPr/>
      </xdr:nvGrpSpPr>
      <xdr:grpSpPr>
        <a:xfrm>
          <a:off x="1584960" y="2457450"/>
          <a:ext cx="1918214" cy="315285"/>
          <a:chOff x="2884160" y="3553811"/>
          <a:chExt cx="1905799" cy="328423"/>
        </a:xfrm>
      </xdr:grpSpPr>
      <xdr:grpSp>
        <xdr:nvGrpSpPr>
          <xdr:cNvPr id="33" name="グループ化 32">
            <a:extLst>
              <a:ext uri="{FF2B5EF4-FFF2-40B4-BE49-F238E27FC236}">
                <a16:creationId xmlns:a16="http://schemas.microsoft.com/office/drawing/2014/main" id="{3A0BD304-A8CB-ED0E-5D7A-D4BA14185861}"/>
              </a:ext>
            </a:extLst>
          </xdr:cNvPr>
          <xdr:cNvGrpSpPr/>
        </xdr:nvGrpSpPr>
        <xdr:grpSpPr>
          <a:xfrm>
            <a:off x="2884160" y="3618389"/>
            <a:ext cx="853591" cy="175389"/>
            <a:chOff x="6019803" y="12334875"/>
            <a:chExt cx="886001" cy="199918"/>
          </a:xfrm>
        </xdr:grpSpPr>
        <xdr:sp macro="" textlink="">
          <xdr:nvSpPr>
            <xdr:cNvPr id="38" name="四角形: 角を丸くする 37">
              <a:extLst>
                <a:ext uri="{FF2B5EF4-FFF2-40B4-BE49-F238E27FC236}">
                  <a16:creationId xmlns:a16="http://schemas.microsoft.com/office/drawing/2014/main" id="{4E072626-3EE7-168A-048E-7BFD5F6809C1}"/>
                </a:ext>
              </a:extLst>
            </xdr:cNvPr>
            <xdr:cNvSpPr/>
          </xdr:nvSpPr>
          <xdr:spPr>
            <a:xfrm>
              <a:off x="6019803" y="12334875"/>
              <a:ext cx="886001" cy="199918"/>
            </a:xfrm>
            <a:prstGeom prst="roundRect">
              <a:avLst/>
            </a:prstGeom>
            <a:solidFill>
              <a:schemeClr val="bg1"/>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1400">
                <a:solidFill>
                  <a:schemeClr val="tx1"/>
                </a:solidFill>
                <a:latin typeface="Meiryo UI" panose="020B0604030504040204" pitchFamily="50" charset="-128"/>
                <a:ea typeface="Meiryo UI" panose="020B0604030504040204" pitchFamily="50" charset="-128"/>
              </a:endParaRPr>
            </a:p>
          </xdr:txBody>
        </xdr:sp>
        <xdr:pic>
          <xdr:nvPicPr>
            <xdr:cNvPr id="39" name="図 38">
              <a:extLst>
                <a:ext uri="{FF2B5EF4-FFF2-40B4-BE49-F238E27FC236}">
                  <a16:creationId xmlns:a16="http://schemas.microsoft.com/office/drawing/2014/main" id="{A08C25D9-52EE-EE61-1789-0D5C9053834D}"/>
                </a:ext>
              </a:extLst>
            </xdr:cNvPr>
            <xdr:cNvPicPr>
              <a:picLocks noChangeAspect="1"/>
            </xdr:cNvPicPr>
          </xdr:nvPicPr>
          <xdr:blipFill>
            <a:blip xmlns:r="http://schemas.openxmlformats.org/officeDocument/2006/relationships" r:embed="rId5"/>
            <a:stretch>
              <a:fillRect/>
            </a:stretch>
          </xdr:blipFill>
          <xdr:spPr>
            <a:xfrm>
              <a:off x="6702522" y="12366061"/>
              <a:ext cx="159968" cy="151367"/>
            </a:xfrm>
            <a:prstGeom prst="rect">
              <a:avLst/>
            </a:prstGeom>
          </xdr:spPr>
        </xdr:pic>
      </xdr:grpSp>
      <xdr:grpSp>
        <xdr:nvGrpSpPr>
          <xdr:cNvPr id="34" name="グループ化 33">
            <a:extLst>
              <a:ext uri="{FF2B5EF4-FFF2-40B4-BE49-F238E27FC236}">
                <a16:creationId xmlns:a16="http://schemas.microsoft.com/office/drawing/2014/main" id="{1D646E43-031B-026E-5053-F26C05701B2F}"/>
              </a:ext>
            </a:extLst>
          </xdr:cNvPr>
          <xdr:cNvGrpSpPr/>
        </xdr:nvGrpSpPr>
        <xdr:grpSpPr>
          <a:xfrm>
            <a:off x="3939824" y="3615326"/>
            <a:ext cx="850135" cy="175389"/>
            <a:chOff x="6019803" y="12334875"/>
            <a:chExt cx="886001" cy="199918"/>
          </a:xfrm>
        </xdr:grpSpPr>
        <xdr:sp macro="" textlink="">
          <xdr:nvSpPr>
            <xdr:cNvPr id="36" name="四角形: 角を丸くする 35">
              <a:extLst>
                <a:ext uri="{FF2B5EF4-FFF2-40B4-BE49-F238E27FC236}">
                  <a16:creationId xmlns:a16="http://schemas.microsoft.com/office/drawing/2014/main" id="{FD4458FF-DC00-6B28-4B55-F695CD135C5D}"/>
                </a:ext>
              </a:extLst>
            </xdr:cNvPr>
            <xdr:cNvSpPr/>
          </xdr:nvSpPr>
          <xdr:spPr>
            <a:xfrm>
              <a:off x="6019803" y="12334875"/>
              <a:ext cx="886001" cy="199918"/>
            </a:xfrm>
            <a:prstGeom prst="roundRect">
              <a:avLst/>
            </a:prstGeom>
            <a:solidFill>
              <a:schemeClr val="bg1"/>
            </a:solidFill>
            <a:ln w="6350">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1400">
                <a:solidFill>
                  <a:schemeClr val="tx1"/>
                </a:solidFill>
                <a:latin typeface="Meiryo UI" panose="020B0604030504040204" pitchFamily="50" charset="-128"/>
                <a:ea typeface="Meiryo UI" panose="020B0604030504040204" pitchFamily="50" charset="-128"/>
              </a:endParaRPr>
            </a:p>
          </xdr:txBody>
        </xdr:sp>
        <xdr:pic>
          <xdr:nvPicPr>
            <xdr:cNvPr id="37" name="図 36">
              <a:extLst>
                <a:ext uri="{FF2B5EF4-FFF2-40B4-BE49-F238E27FC236}">
                  <a16:creationId xmlns:a16="http://schemas.microsoft.com/office/drawing/2014/main" id="{CD6C58EF-0C93-E62D-EFB8-34C9D296BDE7}"/>
                </a:ext>
              </a:extLst>
            </xdr:cNvPr>
            <xdr:cNvPicPr>
              <a:picLocks noChangeAspect="1"/>
            </xdr:cNvPicPr>
          </xdr:nvPicPr>
          <xdr:blipFill>
            <a:blip xmlns:r="http://schemas.openxmlformats.org/officeDocument/2006/relationships" r:embed="rId5"/>
            <a:stretch>
              <a:fillRect/>
            </a:stretch>
          </xdr:blipFill>
          <xdr:spPr>
            <a:xfrm>
              <a:off x="6702522" y="12366061"/>
              <a:ext cx="159968" cy="151367"/>
            </a:xfrm>
            <a:prstGeom prst="rect">
              <a:avLst/>
            </a:prstGeom>
          </xdr:spPr>
        </xdr:pic>
      </xdr:grpSp>
      <xdr:sp macro="" textlink="">
        <xdr:nvSpPr>
          <xdr:cNvPr id="35" name="テキスト ボックス 34">
            <a:extLst>
              <a:ext uri="{FF2B5EF4-FFF2-40B4-BE49-F238E27FC236}">
                <a16:creationId xmlns:a16="http://schemas.microsoft.com/office/drawing/2014/main" id="{FFEBBC96-5A48-8B7D-DD14-F8EE2A03047B}"/>
              </a:ext>
            </a:extLst>
          </xdr:cNvPr>
          <xdr:cNvSpPr txBox="1"/>
        </xdr:nvSpPr>
        <xdr:spPr>
          <a:xfrm>
            <a:off x="3685189" y="3553811"/>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a:t>
            </a: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3F05-62F6-4DD5-9ABC-33277A4A6FDF}">
  <sheetPr>
    <pageSetUpPr fitToPage="1"/>
  </sheetPr>
  <dimension ref="A1:N17"/>
  <sheetViews>
    <sheetView showGridLines="0" tabSelected="1" zoomScaleNormal="100" zoomScaleSheetLayoutView="100" workbookViewId="0"/>
  </sheetViews>
  <sheetFormatPr defaultColWidth="9" defaultRowHeight="15" x14ac:dyDescent="0.45"/>
  <cols>
    <col min="1" max="1" width="10.19921875" style="3" customWidth="1"/>
    <col min="2" max="2" width="3" style="3" customWidth="1"/>
    <col min="3" max="3" width="13.5" style="3" customWidth="1"/>
    <col min="4" max="4" width="37.69921875" style="3" customWidth="1"/>
    <col min="5" max="5" width="9.09765625" style="3" customWidth="1"/>
    <col min="6" max="8" width="18.8984375" style="3" customWidth="1"/>
    <col min="9" max="9" width="10.19921875" style="3" customWidth="1"/>
    <col min="10" max="16384" width="9" style="3"/>
  </cols>
  <sheetData>
    <row r="1" spans="1:14" x14ac:dyDescent="0.45">
      <c r="A1" s="1"/>
      <c r="B1" s="94"/>
      <c r="C1" s="94"/>
      <c r="D1" s="1"/>
      <c r="E1" s="1"/>
      <c r="F1" s="1"/>
      <c r="G1" s="1"/>
      <c r="H1" s="1"/>
      <c r="I1" s="1"/>
      <c r="J1" s="1"/>
      <c r="K1" s="1"/>
      <c r="L1" s="1"/>
      <c r="M1" s="1"/>
      <c r="N1" s="1"/>
    </row>
    <row r="2" spans="1:14" x14ac:dyDescent="0.45">
      <c r="A2" s="1"/>
      <c r="B2" s="94"/>
      <c r="C2" s="94"/>
      <c r="D2" s="1"/>
      <c r="E2" s="1"/>
      <c r="F2" s="1"/>
      <c r="G2" s="1"/>
      <c r="H2" s="1"/>
      <c r="I2" s="1"/>
      <c r="J2" s="1"/>
      <c r="K2" s="1"/>
      <c r="L2" s="1"/>
      <c r="M2" s="1"/>
      <c r="N2" s="1"/>
    </row>
    <row r="3" spans="1:14" x14ac:dyDescent="0.45">
      <c r="A3" s="1"/>
      <c r="B3" s="94"/>
      <c r="C3" s="94"/>
      <c r="D3" s="1"/>
      <c r="E3" s="1"/>
      <c r="F3" s="1"/>
      <c r="G3" s="1"/>
      <c r="H3" s="1"/>
      <c r="I3" s="1"/>
      <c r="J3" s="1"/>
      <c r="K3" s="1"/>
      <c r="L3" s="1"/>
      <c r="M3" s="1"/>
      <c r="N3" s="1"/>
    </row>
    <row r="4" spans="1:14" x14ac:dyDescent="0.45">
      <c r="A4" s="1"/>
      <c r="B4" s="94"/>
      <c r="C4" s="94"/>
      <c r="D4" s="1"/>
      <c r="E4" s="1"/>
      <c r="F4" s="1"/>
      <c r="G4" s="1"/>
      <c r="H4" s="1"/>
      <c r="I4" s="1"/>
      <c r="J4" s="1"/>
      <c r="K4" s="1"/>
      <c r="L4" s="1"/>
      <c r="M4" s="1"/>
      <c r="N4" s="1"/>
    </row>
    <row r="5" spans="1:14" x14ac:dyDescent="0.45">
      <c r="A5" s="1"/>
      <c r="B5" s="94"/>
      <c r="C5" s="94"/>
      <c r="D5" s="1"/>
      <c r="E5" s="1"/>
      <c r="F5" s="1"/>
      <c r="G5" s="1"/>
      <c r="H5" s="1"/>
      <c r="I5" s="1"/>
      <c r="J5" s="1"/>
      <c r="K5" s="1"/>
      <c r="L5" s="1"/>
      <c r="M5" s="1"/>
      <c r="N5" s="1"/>
    </row>
    <row r="6" spans="1:14" x14ac:dyDescent="0.45">
      <c r="A6" s="1"/>
      <c r="B6" s="95"/>
      <c r="C6" s="95"/>
      <c r="D6" s="2"/>
      <c r="E6" s="2"/>
      <c r="F6" s="2"/>
      <c r="G6" s="2"/>
      <c r="H6" s="2"/>
      <c r="I6" s="1"/>
      <c r="J6" s="1"/>
      <c r="K6" s="1"/>
      <c r="L6" s="1"/>
      <c r="M6" s="1"/>
      <c r="N6" s="1"/>
    </row>
    <row r="7" spans="1:14" ht="48.75" customHeight="1" x14ac:dyDescent="0.45">
      <c r="A7" s="1"/>
      <c r="B7" s="97" t="s">
        <v>0</v>
      </c>
      <c r="C7" s="97"/>
      <c r="D7" s="97"/>
      <c r="E7" s="97"/>
      <c r="F7" s="97"/>
      <c r="G7" s="97"/>
      <c r="H7" s="97"/>
      <c r="I7" s="1"/>
      <c r="J7" s="1"/>
      <c r="K7" s="1"/>
      <c r="L7" s="1"/>
      <c r="M7" s="1"/>
      <c r="N7" s="1"/>
    </row>
    <row r="8" spans="1:14" ht="28.5" customHeight="1" x14ac:dyDescent="0.45">
      <c r="A8" s="1"/>
      <c r="B8" s="96" t="s">
        <v>1</v>
      </c>
      <c r="C8" s="96"/>
      <c r="D8" s="96"/>
      <c r="E8" s="96"/>
      <c r="F8" s="96"/>
      <c r="G8" s="96"/>
      <c r="H8" s="96"/>
      <c r="I8" s="1"/>
      <c r="J8" s="1"/>
      <c r="K8" s="1"/>
      <c r="L8" s="1"/>
      <c r="M8" s="1"/>
      <c r="N8" s="1"/>
    </row>
    <row r="9" spans="1:14" ht="28.5" customHeight="1" x14ac:dyDescent="0.45">
      <c r="A9" s="1"/>
      <c r="B9" s="96" t="s">
        <v>2</v>
      </c>
      <c r="C9" s="96"/>
      <c r="D9" s="96"/>
      <c r="E9" s="96"/>
      <c r="F9" s="96"/>
      <c r="G9" s="96"/>
      <c r="H9" s="96"/>
      <c r="I9" s="1"/>
      <c r="J9" s="1"/>
      <c r="K9" s="1"/>
      <c r="L9" s="1"/>
      <c r="M9" s="1"/>
      <c r="N9" s="1"/>
    </row>
    <row r="10" spans="1:14" ht="28.5" customHeight="1" x14ac:dyDescent="0.45">
      <c r="A10" s="1"/>
      <c r="B10" s="96"/>
      <c r="C10" s="96"/>
      <c r="D10" s="96"/>
      <c r="E10" s="96"/>
      <c r="F10" s="96"/>
      <c r="G10" s="96"/>
      <c r="H10" s="96"/>
      <c r="I10" s="1"/>
      <c r="J10" s="1"/>
      <c r="K10" s="1"/>
      <c r="L10" s="1"/>
      <c r="M10" s="1"/>
      <c r="N10" s="1"/>
    </row>
    <row r="11" spans="1:14" ht="28.5" customHeight="1" x14ac:dyDescent="0.45">
      <c r="A11" s="1"/>
      <c r="I11" s="1"/>
      <c r="J11" s="1"/>
      <c r="K11" s="1"/>
      <c r="L11" s="1"/>
      <c r="M11" s="1"/>
      <c r="N11" s="1"/>
    </row>
    <row r="12" spans="1:14" ht="28.5" customHeight="1" x14ac:dyDescent="0.45">
      <c r="A12" s="1"/>
      <c r="I12" s="1"/>
      <c r="J12" s="1"/>
      <c r="K12" s="1"/>
      <c r="L12" s="1"/>
      <c r="M12" s="1"/>
      <c r="N12" s="1"/>
    </row>
    <row r="13" spans="1:14" ht="28.5" customHeight="1" x14ac:dyDescent="0.45">
      <c r="A13" s="1"/>
      <c r="I13" s="1"/>
      <c r="J13" s="1"/>
      <c r="K13" s="1"/>
      <c r="L13" s="1"/>
      <c r="M13" s="1"/>
      <c r="N13" s="1"/>
    </row>
    <row r="14" spans="1:14" ht="28.5" customHeight="1" x14ac:dyDescent="0.45">
      <c r="A14" s="1"/>
      <c r="B14" s="96"/>
      <c r="C14" s="96"/>
      <c r="D14" s="96"/>
      <c r="E14" s="96"/>
      <c r="F14" s="96"/>
      <c r="G14" s="96"/>
      <c r="H14" s="96"/>
      <c r="I14" s="1"/>
      <c r="J14" s="1"/>
      <c r="K14" s="1"/>
      <c r="L14" s="1"/>
      <c r="M14" s="1"/>
      <c r="N14" s="1"/>
    </row>
    <row r="15" spans="1:14" x14ac:dyDescent="0.45">
      <c r="A15" s="1"/>
      <c r="B15" s="95"/>
      <c r="C15" s="95"/>
      <c r="D15" s="2"/>
      <c r="E15" s="2"/>
      <c r="F15" s="2"/>
      <c r="G15" s="2"/>
      <c r="H15" s="2"/>
      <c r="I15" s="1"/>
      <c r="J15" s="1"/>
      <c r="K15" s="1"/>
      <c r="L15" s="1"/>
      <c r="M15" s="1"/>
      <c r="N15" s="1"/>
    </row>
    <row r="16" spans="1:14" x14ac:dyDescent="0.45">
      <c r="A16" s="1"/>
      <c r="B16" s="94"/>
      <c r="C16" s="94"/>
      <c r="D16" s="1"/>
      <c r="E16" s="1"/>
      <c r="F16" s="1"/>
      <c r="G16" s="1"/>
      <c r="H16" s="1"/>
      <c r="I16" s="1"/>
      <c r="J16" s="1"/>
      <c r="K16" s="1"/>
      <c r="L16" s="1"/>
      <c r="M16" s="1"/>
      <c r="N16" s="1"/>
    </row>
    <row r="17" spans="1:14" x14ac:dyDescent="0.45">
      <c r="A17" s="1"/>
      <c r="B17" s="94"/>
      <c r="C17" s="94"/>
      <c r="D17" s="1"/>
      <c r="E17" s="1"/>
      <c r="F17" s="1"/>
      <c r="G17" s="1"/>
      <c r="H17" s="1"/>
      <c r="I17" s="1"/>
      <c r="J17" s="1"/>
      <c r="K17" s="1"/>
      <c r="L17" s="1"/>
      <c r="M17" s="1"/>
      <c r="N17" s="1"/>
    </row>
  </sheetData>
  <mergeCells count="14">
    <mergeCell ref="B1:C1"/>
    <mergeCell ref="B2:C2"/>
    <mergeCell ref="B17:C17"/>
    <mergeCell ref="B16:C16"/>
    <mergeCell ref="B15:C15"/>
    <mergeCell ref="B14:H14"/>
    <mergeCell ref="B8:H8"/>
    <mergeCell ref="B9:H9"/>
    <mergeCell ref="B10:H10"/>
    <mergeCell ref="B7:H7"/>
    <mergeCell ref="B5:C5"/>
    <mergeCell ref="B6:C6"/>
    <mergeCell ref="B3:C3"/>
    <mergeCell ref="B4:C4"/>
  </mergeCells>
  <phoneticPr fontId="1"/>
  <pageMargins left="0.19685039370078741" right="0.19685039370078741" top="0.78740157480314965" bottom="0.51181102362204722" header="0" footer="0.15748031496062992"/>
  <pageSetup paperSize="9" scale="9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D0F5D-6F52-4162-A4A1-ED4493EA3A17}">
  <sheetPr>
    <pageSetUpPr fitToPage="1"/>
  </sheetPr>
  <dimension ref="B1:BN25"/>
  <sheetViews>
    <sheetView showGridLines="0" zoomScaleNormal="100" zoomScaleSheetLayoutView="100" workbookViewId="0"/>
  </sheetViews>
  <sheetFormatPr defaultColWidth="2.59765625" defaultRowHeight="15" x14ac:dyDescent="0.45"/>
  <cols>
    <col min="1" max="56" width="2.59765625" style="3"/>
    <col min="57" max="57" width="2.59765625" style="3" customWidth="1"/>
    <col min="58" max="16384" width="2.59765625" style="3"/>
  </cols>
  <sheetData>
    <row r="1" spans="2:66" x14ac:dyDescent="0.45">
      <c r="B1" s="101" t="s">
        <v>3</v>
      </c>
      <c r="C1" s="102"/>
      <c r="D1" s="102"/>
      <c r="E1" s="102"/>
      <c r="F1" s="102"/>
      <c r="G1" s="105" t="s">
        <v>4</v>
      </c>
      <c r="H1" s="105"/>
      <c r="I1" s="105"/>
      <c r="J1" s="105"/>
      <c r="K1" s="105"/>
      <c r="L1" s="105"/>
      <c r="M1" s="105"/>
      <c r="N1" s="102" t="str">
        <f>表紙!B9</f>
        <v>会議室予約システム構築</v>
      </c>
      <c r="O1" s="102"/>
      <c r="P1" s="102"/>
      <c r="Q1" s="102"/>
      <c r="R1" s="102"/>
      <c r="S1" s="102"/>
      <c r="T1" s="102"/>
      <c r="U1" s="102"/>
      <c r="V1" s="102"/>
      <c r="W1" s="102"/>
      <c r="X1" s="105" t="s">
        <v>5</v>
      </c>
      <c r="Y1" s="105"/>
      <c r="Z1" s="105"/>
      <c r="AA1" s="105"/>
      <c r="AB1" s="105"/>
      <c r="AC1" s="107" t="str">
        <f>表紙!B7</f>
        <v>(BR_Com004)会議室タブレット登録_画面定義書</v>
      </c>
      <c r="AD1" s="107"/>
      <c r="AE1" s="107"/>
      <c r="AF1" s="107"/>
      <c r="AG1" s="107"/>
      <c r="AH1" s="107"/>
      <c r="AI1" s="107"/>
      <c r="AJ1" s="107"/>
      <c r="AK1" s="107"/>
      <c r="AL1" s="107"/>
      <c r="AM1" s="107"/>
      <c r="AN1" s="107"/>
      <c r="AO1" s="107"/>
      <c r="AP1" s="107"/>
      <c r="AQ1" s="107"/>
      <c r="AR1" s="105" t="s">
        <v>6</v>
      </c>
      <c r="AS1" s="105"/>
      <c r="AT1" s="105"/>
      <c r="AU1" s="105" t="s">
        <v>7</v>
      </c>
      <c r="AV1" s="105"/>
      <c r="AW1" s="105"/>
      <c r="AX1" s="105"/>
      <c r="AY1" s="105"/>
      <c r="AZ1" s="109">
        <f>IF(AR2="","",VLOOKUP(AR2,C7:O23,4,0))</f>
        <v>46234</v>
      </c>
      <c r="BA1" s="109"/>
      <c r="BB1" s="109"/>
      <c r="BC1" s="109"/>
      <c r="BD1" s="109"/>
      <c r="BE1" s="105" t="s">
        <v>8</v>
      </c>
      <c r="BF1" s="105"/>
      <c r="BG1" s="105"/>
      <c r="BH1" s="105"/>
      <c r="BI1" s="105"/>
      <c r="BJ1" s="109" t="str">
        <f>IF(AR2="","",VLOOKUP(AR2,C7:O23,9,0))</f>
        <v>SRO 牟禮</v>
      </c>
      <c r="BK1" s="109"/>
      <c r="BL1" s="109"/>
      <c r="BM1" s="109"/>
      <c r="BN1" s="110"/>
    </row>
    <row r="2" spans="2:66" ht="14.4" customHeight="1" thickBot="1" x14ac:dyDescent="0.5">
      <c r="B2" s="103"/>
      <c r="C2" s="104"/>
      <c r="D2" s="104"/>
      <c r="E2" s="104"/>
      <c r="F2" s="104"/>
      <c r="G2" s="106"/>
      <c r="H2" s="106"/>
      <c r="I2" s="106"/>
      <c r="J2" s="106"/>
      <c r="K2" s="106"/>
      <c r="L2" s="106"/>
      <c r="M2" s="106"/>
      <c r="N2" s="104"/>
      <c r="O2" s="104"/>
      <c r="P2" s="104"/>
      <c r="Q2" s="104"/>
      <c r="R2" s="104"/>
      <c r="S2" s="104"/>
      <c r="T2" s="104"/>
      <c r="U2" s="104"/>
      <c r="V2" s="104"/>
      <c r="W2" s="104"/>
      <c r="X2" s="106"/>
      <c r="Y2" s="106"/>
      <c r="Z2" s="106"/>
      <c r="AA2" s="106"/>
      <c r="AB2" s="106"/>
      <c r="AC2" s="108"/>
      <c r="AD2" s="108"/>
      <c r="AE2" s="108"/>
      <c r="AF2" s="108"/>
      <c r="AG2" s="108"/>
      <c r="AH2" s="108"/>
      <c r="AI2" s="108"/>
      <c r="AJ2" s="108"/>
      <c r="AK2" s="108"/>
      <c r="AL2" s="108"/>
      <c r="AM2" s="108"/>
      <c r="AN2" s="108"/>
      <c r="AO2" s="108"/>
      <c r="AP2" s="108"/>
      <c r="AQ2" s="108"/>
      <c r="AR2" s="112" t="s">
        <v>274</v>
      </c>
      <c r="AS2" s="112"/>
      <c r="AT2" s="112"/>
      <c r="AU2" s="106" t="s">
        <v>9</v>
      </c>
      <c r="AV2" s="106"/>
      <c r="AW2" s="106"/>
      <c r="AX2" s="106"/>
      <c r="AY2" s="106"/>
      <c r="AZ2" s="113">
        <f>F7</f>
        <v>46099</v>
      </c>
      <c r="BA2" s="113"/>
      <c r="BB2" s="113"/>
      <c r="BC2" s="113"/>
      <c r="BD2" s="113"/>
      <c r="BE2" s="106" t="s">
        <v>10</v>
      </c>
      <c r="BF2" s="106"/>
      <c r="BG2" s="106"/>
      <c r="BH2" s="106"/>
      <c r="BI2" s="106"/>
      <c r="BJ2" s="113" t="str">
        <f>K7</f>
        <v>SRO 尾崎</v>
      </c>
      <c r="BK2" s="113"/>
      <c r="BL2" s="113"/>
      <c r="BM2" s="113"/>
      <c r="BN2" s="114"/>
    </row>
    <row r="3" spans="2:66" ht="22.8" x14ac:dyDescent="0.45">
      <c r="B3" s="70" t="s">
        <v>11</v>
      </c>
      <c r="D3" s="4"/>
      <c r="E3" s="1"/>
      <c r="F3" s="1"/>
    </row>
    <row r="4" spans="2:66" ht="8.4" customHeight="1" x14ac:dyDescent="0.45"/>
    <row r="5" spans="2:66" x14ac:dyDescent="0.45">
      <c r="B5" s="5"/>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7"/>
    </row>
    <row r="6" spans="2:66" x14ac:dyDescent="0.45">
      <c r="B6" s="8"/>
      <c r="C6" s="111" t="s">
        <v>12</v>
      </c>
      <c r="D6" s="111"/>
      <c r="E6" s="111"/>
      <c r="F6" s="111" t="s">
        <v>13</v>
      </c>
      <c r="G6" s="111"/>
      <c r="H6" s="111"/>
      <c r="I6" s="111"/>
      <c r="J6" s="111"/>
      <c r="K6" s="111" t="s">
        <v>14</v>
      </c>
      <c r="L6" s="111"/>
      <c r="M6" s="111"/>
      <c r="N6" s="111"/>
      <c r="O6" s="111"/>
      <c r="P6" s="111" t="s">
        <v>15</v>
      </c>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BN6" s="9"/>
    </row>
    <row r="7" spans="2:66" x14ac:dyDescent="0.45">
      <c r="B7" s="8"/>
      <c r="C7" s="115" t="s">
        <v>16</v>
      </c>
      <c r="D7" s="115"/>
      <c r="E7" s="115"/>
      <c r="F7" s="99">
        <v>46099</v>
      </c>
      <c r="G7" s="99"/>
      <c r="H7" s="99"/>
      <c r="I7" s="99"/>
      <c r="J7" s="99"/>
      <c r="K7" s="98" t="s">
        <v>17</v>
      </c>
      <c r="L7" s="98"/>
      <c r="M7" s="98"/>
      <c r="N7" s="98"/>
      <c r="O7" s="98"/>
      <c r="P7" s="100" t="s">
        <v>18</v>
      </c>
      <c r="Q7" s="100"/>
      <c r="R7" s="100"/>
      <c r="S7" s="100"/>
      <c r="T7" s="100"/>
      <c r="U7" s="100"/>
      <c r="V7" s="100"/>
      <c r="W7" s="100"/>
      <c r="X7" s="100"/>
      <c r="Y7" s="100"/>
      <c r="Z7" s="100"/>
      <c r="AA7" s="100"/>
      <c r="AB7" s="100"/>
      <c r="AC7" s="100"/>
      <c r="AD7" s="100"/>
      <c r="AE7" s="100"/>
      <c r="AF7" s="100"/>
      <c r="AG7" s="100"/>
      <c r="AH7" s="100"/>
      <c r="AI7" s="100"/>
      <c r="AJ7" s="100"/>
      <c r="AK7" s="100"/>
      <c r="AL7" s="100"/>
      <c r="AM7" s="100"/>
      <c r="AN7" s="100"/>
      <c r="AO7" s="100"/>
      <c r="BN7" s="9"/>
    </row>
    <row r="8" spans="2:66" ht="70.2" customHeight="1" x14ac:dyDescent="0.45">
      <c r="B8" s="8"/>
      <c r="C8" s="115" t="s">
        <v>274</v>
      </c>
      <c r="D8" s="115"/>
      <c r="E8" s="115"/>
      <c r="F8" s="99">
        <v>46234</v>
      </c>
      <c r="G8" s="99"/>
      <c r="H8" s="99"/>
      <c r="I8" s="99"/>
      <c r="J8" s="99"/>
      <c r="K8" s="98" t="s">
        <v>275</v>
      </c>
      <c r="L8" s="98"/>
      <c r="M8" s="98"/>
      <c r="N8" s="98"/>
      <c r="O8" s="98"/>
      <c r="P8" s="100" t="s">
        <v>276</v>
      </c>
      <c r="Q8" s="100"/>
      <c r="R8" s="100"/>
      <c r="S8" s="100"/>
      <c r="T8" s="100"/>
      <c r="U8" s="100"/>
      <c r="V8" s="100"/>
      <c r="W8" s="100"/>
      <c r="X8" s="100"/>
      <c r="Y8" s="100"/>
      <c r="Z8" s="100"/>
      <c r="AA8" s="100"/>
      <c r="AB8" s="100"/>
      <c r="AC8" s="100"/>
      <c r="AD8" s="100"/>
      <c r="AE8" s="100"/>
      <c r="AF8" s="100"/>
      <c r="AG8" s="100"/>
      <c r="AH8" s="100"/>
      <c r="AI8" s="100"/>
      <c r="AJ8" s="100"/>
      <c r="AK8" s="100"/>
      <c r="AL8" s="100"/>
      <c r="AM8" s="100"/>
      <c r="AN8" s="100"/>
      <c r="AO8" s="100"/>
      <c r="BN8" s="9"/>
    </row>
    <row r="9" spans="2:66" x14ac:dyDescent="0.45">
      <c r="B9" s="8"/>
      <c r="C9" s="115"/>
      <c r="D9" s="115"/>
      <c r="E9" s="115"/>
      <c r="F9" s="99"/>
      <c r="G9" s="99"/>
      <c r="H9" s="99"/>
      <c r="I9" s="99"/>
      <c r="J9" s="99"/>
      <c r="K9" s="98"/>
      <c r="L9" s="98"/>
      <c r="M9" s="98"/>
      <c r="N9" s="98"/>
      <c r="O9" s="98"/>
      <c r="P9" s="100"/>
      <c r="Q9" s="100"/>
      <c r="R9" s="100"/>
      <c r="S9" s="100"/>
      <c r="T9" s="100"/>
      <c r="U9" s="100"/>
      <c r="V9" s="100"/>
      <c r="W9" s="100"/>
      <c r="X9" s="100"/>
      <c r="Y9" s="100"/>
      <c r="Z9" s="100"/>
      <c r="AA9" s="100"/>
      <c r="AB9" s="100"/>
      <c r="AC9" s="100"/>
      <c r="AD9" s="100"/>
      <c r="AE9" s="100"/>
      <c r="AF9" s="100"/>
      <c r="AG9" s="100"/>
      <c r="AH9" s="100"/>
      <c r="AI9" s="100"/>
      <c r="AJ9" s="100"/>
      <c r="AK9" s="100"/>
      <c r="AL9" s="100"/>
      <c r="AM9" s="100"/>
      <c r="AN9" s="100"/>
      <c r="AO9" s="100"/>
      <c r="BN9" s="9"/>
    </row>
    <row r="10" spans="2:66" x14ac:dyDescent="0.45">
      <c r="B10" s="8"/>
      <c r="C10" s="115"/>
      <c r="D10" s="115"/>
      <c r="E10" s="115"/>
      <c r="F10" s="99"/>
      <c r="G10" s="99"/>
      <c r="H10" s="99"/>
      <c r="I10" s="99"/>
      <c r="J10" s="99"/>
      <c r="K10" s="98"/>
      <c r="L10" s="98"/>
      <c r="M10" s="98"/>
      <c r="N10" s="98"/>
      <c r="O10" s="98"/>
      <c r="P10" s="100"/>
      <c r="Q10" s="100"/>
      <c r="R10" s="100"/>
      <c r="S10" s="100"/>
      <c r="T10" s="100"/>
      <c r="U10" s="100"/>
      <c r="V10" s="100"/>
      <c r="W10" s="100"/>
      <c r="X10" s="100"/>
      <c r="Y10" s="100"/>
      <c r="Z10" s="100"/>
      <c r="AA10" s="100"/>
      <c r="AB10" s="100"/>
      <c r="AC10" s="100"/>
      <c r="AD10" s="100"/>
      <c r="AE10" s="100"/>
      <c r="AF10" s="100"/>
      <c r="AG10" s="100"/>
      <c r="AH10" s="100"/>
      <c r="AI10" s="100"/>
      <c r="AJ10" s="100"/>
      <c r="AK10" s="100"/>
      <c r="AL10" s="100"/>
      <c r="AM10" s="100"/>
      <c r="AN10" s="100"/>
      <c r="AO10" s="100"/>
      <c r="BN10" s="9"/>
    </row>
    <row r="11" spans="2:66" x14ac:dyDescent="0.45">
      <c r="B11" s="8"/>
      <c r="C11" s="115"/>
      <c r="D11" s="115"/>
      <c r="E11" s="115"/>
      <c r="F11" s="99"/>
      <c r="G11" s="99"/>
      <c r="H11" s="99"/>
      <c r="I11" s="99"/>
      <c r="J11" s="99"/>
      <c r="K11" s="98"/>
      <c r="L11" s="98"/>
      <c r="M11" s="98"/>
      <c r="N11" s="98"/>
      <c r="O11" s="98"/>
      <c r="P11" s="100"/>
      <c r="Q11" s="100"/>
      <c r="R11" s="100"/>
      <c r="S11" s="100"/>
      <c r="T11" s="100"/>
      <c r="U11" s="100"/>
      <c r="V11" s="100"/>
      <c r="W11" s="100"/>
      <c r="X11" s="100"/>
      <c r="Y11" s="100"/>
      <c r="Z11" s="100"/>
      <c r="AA11" s="100"/>
      <c r="AB11" s="100"/>
      <c r="AC11" s="100"/>
      <c r="AD11" s="100"/>
      <c r="AE11" s="100"/>
      <c r="AF11" s="100"/>
      <c r="AG11" s="100"/>
      <c r="AH11" s="100"/>
      <c r="AI11" s="100"/>
      <c r="AJ11" s="100"/>
      <c r="AK11" s="100"/>
      <c r="AL11" s="100"/>
      <c r="AM11" s="100"/>
      <c r="AN11" s="100"/>
      <c r="AO11" s="100"/>
      <c r="BN11" s="9"/>
    </row>
    <row r="12" spans="2:66" x14ac:dyDescent="0.45">
      <c r="B12" s="8"/>
      <c r="C12" s="115"/>
      <c r="D12" s="115"/>
      <c r="E12" s="115"/>
      <c r="F12" s="99"/>
      <c r="G12" s="99"/>
      <c r="H12" s="99"/>
      <c r="I12" s="99"/>
      <c r="J12" s="99"/>
      <c r="K12" s="98"/>
      <c r="L12" s="98"/>
      <c r="M12" s="98"/>
      <c r="N12" s="98"/>
      <c r="O12" s="98"/>
      <c r="P12" s="100"/>
      <c r="Q12" s="100"/>
      <c r="R12" s="100"/>
      <c r="S12" s="100"/>
      <c r="T12" s="100"/>
      <c r="U12" s="100"/>
      <c r="V12" s="100"/>
      <c r="W12" s="100"/>
      <c r="X12" s="100"/>
      <c r="Y12" s="100"/>
      <c r="Z12" s="100"/>
      <c r="AA12" s="100"/>
      <c r="AB12" s="100"/>
      <c r="AC12" s="100"/>
      <c r="AD12" s="100"/>
      <c r="AE12" s="100"/>
      <c r="AF12" s="100"/>
      <c r="AG12" s="100"/>
      <c r="AH12" s="100"/>
      <c r="AI12" s="100"/>
      <c r="AJ12" s="100"/>
      <c r="AK12" s="100"/>
      <c r="AL12" s="100"/>
      <c r="AM12" s="100"/>
      <c r="AN12" s="100"/>
      <c r="AO12" s="100"/>
      <c r="BN12" s="9"/>
    </row>
    <row r="13" spans="2:66" x14ac:dyDescent="0.45">
      <c r="B13" s="8"/>
      <c r="C13" s="115"/>
      <c r="D13" s="115"/>
      <c r="E13" s="115"/>
      <c r="F13" s="99"/>
      <c r="G13" s="99"/>
      <c r="H13" s="99"/>
      <c r="I13" s="99"/>
      <c r="J13" s="99"/>
      <c r="K13" s="98"/>
      <c r="L13" s="98"/>
      <c r="M13" s="98"/>
      <c r="N13" s="98"/>
      <c r="O13" s="98"/>
      <c r="P13" s="100"/>
      <c r="Q13" s="100"/>
      <c r="R13" s="100"/>
      <c r="S13" s="100"/>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BN13" s="9"/>
    </row>
    <row r="14" spans="2:66" x14ac:dyDescent="0.45">
      <c r="B14" s="8"/>
      <c r="C14" s="115"/>
      <c r="D14" s="115"/>
      <c r="E14" s="115"/>
      <c r="F14" s="99"/>
      <c r="G14" s="99"/>
      <c r="H14" s="99"/>
      <c r="I14" s="99"/>
      <c r="J14" s="99"/>
      <c r="K14" s="98"/>
      <c r="L14" s="98"/>
      <c r="M14" s="98"/>
      <c r="N14" s="98"/>
      <c r="O14" s="98"/>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BN14" s="9"/>
    </row>
    <row r="15" spans="2:66" x14ac:dyDescent="0.45">
      <c r="B15" s="8"/>
      <c r="C15" s="115"/>
      <c r="D15" s="115"/>
      <c r="E15" s="115"/>
      <c r="F15" s="99"/>
      <c r="G15" s="99"/>
      <c r="H15" s="99"/>
      <c r="I15" s="99"/>
      <c r="J15" s="99"/>
      <c r="K15" s="98"/>
      <c r="L15" s="98"/>
      <c r="M15" s="98"/>
      <c r="N15" s="98"/>
      <c r="O15" s="98"/>
      <c r="P15" s="100"/>
      <c r="Q15" s="100"/>
      <c r="R15" s="100"/>
      <c r="S15" s="100"/>
      <c r="T15" s="100"/>
      <c r="U15" s="100"/>
      <c r="V15" s="100"/>
      <c r="W15" s="100"/>
      <c r="X15" s="100"/>
      <c r="Y15" s="100"/>
      <c r="Z15" s="100"/>
      <c r="AA15" s="100"/>
      <c r="AB15" s="100"/>
      <c r="AC15" s="100"/>
      <c r="AD15" s="100"/>
      <c r="AE15" s="100"/>
      <c r="AF15" s="100"/>
      <c r="AG15" s="100"/>
      <c r="AH15" s="100"/>
      <c r="AI15" s="100"/>
      <c r="AJ15" s="100"/>
      <c r="AK15" s="100"/>
      <c r="AL15" s="100"/>
      <c r="AM15" s="100"/>
      <c r="AN15" s="100"/>
      <c r="AO15" s="100"/>
      <c r="BN15" s="9"/>
    </row>
    <row r="16" spans="2:66" x14ac:dyDescent="0.45">
      <c r="B16" s="8"/>
      <c r="C16" s="115"/>
      <c r="D16" s="115"/>
      <c r="E16" s="115"/>
      <c r="F16" s="99"/>
      <c r="G16" s="99"/>
      <c r="H16" s="99"/>
      <c r="I16" s="99"/>
      <c r="J16" s="99"/>
      <c r="K16" s="98"/>
      <c r="L16" s="98"/>
      <c r="M16" s="98"/>
      <c r="N16" s="98"/>
      <c r="O16" s="98"/>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AM16" s="100"/>
      <c r="AN16" s="100"/>
      <c r="AO16" s="100"/>
      <c r="BN16" s="9"/>
    </row>
    <row r="17" spans="2:66" x14ac:dyDescent="0.45">
      <c r="B17" s="8"/>
      <c r="C17" s="115"/>
      <c r="D17" s="115"/>
      <c r="E17" s="115"/>
      <c r="F17" s="99"/>
      <c r="G17" s="99"/>
      <c r="H17" s="99"/>
      <c r="I17" s="99"/>
      <c r="J17" s="99"/>
      <c r="K17" s="98"/>
      <c r="L17" s="98"/>
      <c r="M17" s="98"/>
      <c r="N17" s="98"/>
      <c r="O17" s="98"/>
      <c r="P17" s="100"/>
      <c r="Q17" s="100"/>
      <c r="R17" s="100"/>
      <c r="S17" s="100"/>
      <c r="T17" s="100"/>
      <c r="U17" s="100"/>
      <c r="V17" s="100"/>
      <c r="W17" s="100"/>
      <c r="X17" s="100"/>
      <c r="Y17" s="100"/>
      <c r="Z17" s="100"/>
      <c r="AA17" s="100"/>
      <c r="AB17" s="100"/>
      <c r="AC17" s="100"/>
      <c r="AD17" s="100"/>
      <c r="AE17" s="100"/>
      <c r="AF17" s="100"/>
      <c r="AG17" s="100"/>
      <c r="AH17" s="100"/>
      <c r="AI17" s="100"/>
      <c r="AJ17" s="100"/>
      <c r="AK17" s="100"/>
      <c r="AL17" s="100"/>
      <c r="AM17" s="100"/>
      <c r="AN17" s="100"/>
      <c r="AO17" s="100"/>
      <c r="BN17" s="9"/>
    </row>
    <row r="18" spans="2:66" x14ac:dyDescent="0.45">
      <c r="B18" s="8"/>
      <c r="C18" s="115"/>
      <c r="D18" s="115"/>
      <c r="E18" s="115"/>
      <c r="F18" s="99"/>
      <c r="G18" s="99"/>
      <c r="H18" s="99"/>
      <c r="I18" s="99"/>
      <c r="J18" s="99"/>
      <c r="K18" s="98"/>
      <c r="L18" s="98"/>
      <c r="M18" s="98"/>
      <c r="N18" s="98"/>
      <c r="O18" s="98"/>
      <c r="P18" s="100"/>
      <c r="Q18" s="100"/>
      <c r="R18" s="100"/>
      <c r="S18" s="100"/>
      <c r="T18" s="100"/>
      <c r="U18" s="100"/>
      <c r="V18" s="100"/>
      <c r="W18" s="100"/>
      <c r="X18" s="100"/>
      <c r="Y18" s="100"/>
      <c r="Z18" s="100"/>
      <c r="AA18" s="100"/>
      <c r="AB18" s="100"/>
      <c r="AC18" s="100"/>
      <c r="AD18" s="100"/>
      <c r="AE18" s="100"/>
      <c r="AF18" s="100"/>
      <c r="AG18" s="100"/>
      <c r="AH18" s="100"/>
      <c r="AI18" s="100"/>
      <c r="AJ18" s="100"/>
      <c r="AK18" s="100"/>
      <c r="AL18" s="100"/>
      <c r="AM18" s="100"/>
      <c r="AN18" s="100"/>
      <c r="AO18" s="100"/>
      <c r="BN18" s="9"/>
    </row>
    <row r="19" spans="2:66" x14ac:dyDescent="0.45">
      <c r="B19" s="8"/>
      <c r="C19" s="115"/>
      <c r="D19" s="115"/>
      <c r="E19" s="115"/>
      <c r="F19" s="99"/>
      <c r="G19" s="99"/>
      <c r="H19" s="99"/>
      <c r="I19" s="99"/>
      <c r="J19" s="99"/>
      <c r="K19" s="98"/>
      <c r="L19" s="98"/>
      <c r="M19" s="98"/>
      <c r="N19" s="98"/>
      <c r="O19" s="98"/>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BN19" s="9"/>
    </row>
    <row r="20" spans="2:66" x14ac:dyDescent="0.45">
      <c r="B20" s="8"/>
      <c r="C20" s="115"/>
      <c r="D20" s="115"/>
      <c r="E20" s="115"/>
      <c r="F20" s="99"/>
      <c r="G20" s="99"/>
      <c r="H20" s="99"/>
      <c r="I20" s="99"/>
      <c r="J20" s="99"/>
      <c r="K20" s="98"/>
      <c r="L20" s="98"/>
      <c r="M20" s="98"/>
      <c r="N20" s="98"/>
      <c r="O20" s="98"/>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BN20" s="9"/>
    </row>
    <row r="21" spans="2:66" x14ac:dyDescent="0.45">
      <c r="B21" s="8"/>
      <c r="C21" s="115"/>
      <c r="D21" s="115"/>
      <c r="E21" s="115"/>
      <c r="F21" s="99"/>
      <c r="G21" s="99"/>
      <c r="H21" s="99"/>
      <c r="I21" s="99"/>
      <c r="J21" s="99"/>
      <c r="K21" s="98"/>
      <c r="L21" s="98"/>
      <c r="M21" s="98"/>
      <c r="N21" s="98"/>
      <c r="O21" s="98"/>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BN21" s="9"/>
    </row>
    <row r="22" spans="2:66" x14ac:dyDescent="0.45">
      <c r="B22" s="8"/>
      <c r="C22" s="115"/>
      <c r="D22" s="115"/>
      <c r="E22" s="115"/>
      <c r="F22" s="99"/>
      <c r="G22" s="99"/>
      <c r="H22" s="99"/>
      <c r="I22" s="99"/>
      <c r="J22" s="99"/>
      <c r="K22" s="98"/>
      <c r="L22" s="98"/>
      <c r="M22" s="98"/>
      <c r="N22" s="98"/>
      <c r="O22" s="98"/>
      <c r="P22" s="100"/>
      <c r="Q22" s="100"/>
      <c r="R22" s="100"/>
      <c r="S22" s="100"/>
      <c r="T22" s="100"/>
      <c r="U22" s="100"/>
      <c r="V22" s="100"/>
      <c r="W22" s="100"/>
      <c r="X22" s="100"/>
      <c r="Y22" s="100"/>
      <c r="Z22" s="100"/>
      <c r="AA22" s="100"/>
      <c r="AB22" s="100"/>
      <c r="AC22" s="100"/>
      <c r="AD22" s="100"/>
      <c r="AE22" s="100"/>
      <c r="AF22" s="100"/>
      <c r="AG22" s="100"/>
      <c r="AH22" s="100"/>
      <c r="AI22" s="100"/>
      <c r="AJ22" s="100"/>
      <c r="AK22" s="100"/>
      <c r="AL22" s="100"/>
      <c r="AM22" s="100"/>
      <c r="AN22" s="100"/>
      <c r="AO22" s="100"/>
      <c r="BN22" s="9"/>
    </row>
    <row r="23" spans="2:66" x14ac:dyDescent="0.45">
      <c r="B23" s="8"/>
      <c r="C23" s="115"/>
      <c r="D23" s="115"/>
      <c r="E23" s="115"/>
      <c r="F23" s="99"/>
      <c r="G23" s="99"/>
      <c r="H23" s="99"/>
      <c r="I23" s="99"/>
      <c r="J23" s="99"/>
      <c r="K23" s="98"/>
      <c r="L23" s="98"/>
      <c r="M23" s="98"/>
      <c r="N23" s="98"/>
      <c r="O23" s="98"/>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BN23" s="9"/>
    </row>
    <row r="24" spans="2:66" x14ac:dyDescent="0.45">
      <c r="B24" s="8"/>
      <c r="BN24" s="9"/>
    </row>
    <row r="25" spans="2:66" x14ac:dyDescent="0.45">
      <c r="B25" s="10"/>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2"/>
    </row>
  </sheetData>
  <mergeCells count="87">
    <mergeCell ref="C23:E23"/>
    <mergeCell ref="C17:E17"/>
    <mergeCell ref="C18:E18"/>
    <mergeCell ref="C19:E19"/>
    <mergeCell ref="C20:E20"/>
    <mergeCell ref="C21:E21"/>
    <mergeCell ref="C22:E22"/>
    <mergeCell ref="F22:J22"/>
    <mergeCell ref="C11:E11"/>
    <mergeCell ref="C12:E12"/>
    <mergeCell ref="C13:E13"/>
    <mergeCell ref="C14:E14"/>
    <mergeCell ref="C15:E15"/>
    <mergeCell ref="F23:J23"/>
    <mergeCell ref="C6:E6"/>
    <mergeCell ref="C7:E7"/>
    <mergeCell ref="C8:E8"/>
    <mergeCell ref="C9:E9"/>
    <mergeCell ref="C10:E10"/>
    <mergeCell ref="F13:J13"/>
    <mergeCell ref="F14:J14"/>
    <mergeCell ref="F15:J15"/>
    <mergeCell ref="F16:J16"/>
    <mergeCell ref="F17:J17"/>
    <mergeCell ref="F18:J18"/>
    <mergeCell ref="C16:E16"/>
    <mergeCell ref="F19:J19"/>
    <mergeCell ref="F20:J20"/>
    <mergeCell ref="F21:J21"/>
    <mergeCell ref="K20:O20"/>
    <mergeCell ref="K21:O21"/>
    <mergeCell ref="K22:O22"/>
    <mergeCell ref="K23:O23"/>
    <mergeCell ref="F6:J6"/>
    <mergeCell ref="F7:J7"/>
    <mergeCell ref="F8:J8"/>
    <mergeCell ref="F9:J9"/>
    <mergeCell ref="F10:J10"/>
    <mergeCell ref="F11:J11"/>
    <mergeCell ref="K14:O14"/>
    <mergeCell ref="K15:O15"/>
    <mergeCell ref="K16:O16"/>
    <mergeCell ref="K17:O17"/>
    <mergeCell ref="K18:O18"/>
    <mergeCell ref="K19:O19"/>
    <mergeCell ref="P20:AO20"/>
    <mergeCell ref="P21:AO21"/>
    <mergeCell ref="P22:AO22"/>
    <mergeCell ref="P23:AO23"/>
    <mergeCell ref="K6:O6"/>
    <mergeCell ref="K7:O7"/>
    <mergeCell ref="K8:O8"/>
    <mergeCell ref="K9:O9"/>
    <mergeCell ref="K10:O10"/>
    <mergeCell ref="K11:O11"/>
    <mergeCell ref="P14:AO14"/>
    <mergeCell ref="P15:AO15"/>
    <mergeCell ref="P16:AO16"/>
    <mergeCell ref="P17:AO17"/>
    <mergeCell ref="P18:AO18"/>
    <mergeCell ref="P19:AO19"/>
    <mergeCell ref="BJ1:BN1"/>
    <mergeCell ref="P6:AO6"/>
    <mergeCell ref="P7:AO7"/>
    <mergeCell ref="P8:AO8"/>
    <mergeCell ref="AU1:AY1"/>
    <mergeCell ref="AZ1:BD1"/>
    <mergeCell ref="BE1:BI1"/>
    <mergeCell ref="AR1:AT1"/>
    <mergeCell ref="AR2:AT2"/>
    <mergeCell ref="AU2:AY2"/>
    <mergeCell ref="AZ2:BD2"/>
    <mergeCell ref="BE2:BI2"/>
    <mergeCell ref="BJ2:BN2"/>
    <mergeCell ref="B1:F2"/>
    <mergeCell ref="G1:M2"/>
    <mergeCell ref="N1:W2"/>
    <mergeCell ref="X1:AB2"/>
    <mergeCell ref="AC1:AQ2"/>
    <mergeCell ref="K12:O12"/>
    <mergeCell ref="K13:O13"/>
    <mergeCell ref="F12:J12"/>
    <mergeCell ref="P9:AO9"/>
    <mergeCell ref="P10:AO10"/>
    <mergeCell ref="P11:AO11"/>
    <mergeCell ref="P12:AO12"/>
    <mergeCell ref="P13:AO13"/>
  </mergeCells>
  <phoneticPr fontId="1"/>
  <pageMargins left="0.70866141732283472" right="0.70866141732283472" top="0.74803149606299213" bottom="0.74803149606299213" header="0.31496062992125984" footer="0.31496062992125984"/>
  <pageSetup paperSize="9" scale="68" fitToHeight="0"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70617-67C9-4A90-A0D3-41723C547F2B}">
  <sheetPr>
    <pageSetUpPr fitToPage="1"/>
  </sheetPr>
  <dimension ref="B3:BN30"/>
  <sheetViews>
    <sheetView showGridLines="0" zoomScaleNormal="100" zoomScaleSheetLayoutView="100" workbookViewId="0"/>
  </sheetViews>
  <sheetFormatPr defaultColWidth="2.59765625" defaultRowHeight="15" x14ac:dyDescent="0.45"/>
  <cols>
    <col min="1" max="16384" width="2.59765625" style="3"/>
  </cols>
  <sheetData>
    <row r="3" spans="2:66" ht="22.8" x14ac:dyDescent="0.45">
      <c r="B3" s="70" t="s">
        <v>19</v>
      </c>
    </row>
    <row r="4" spans="2:66" ht="8.4" customHeight="1" x14ac:dyDescent="0.45"/>
    <row r="5" spans="2:66" x14ac:dyDescent="0.45">
      <c r="B5" s="5"/>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7"/>
    </row>
    <row r="6" spans="2:66" x14ac:dyDescent="0.45">
      <c r="B6" s="8"/>
      <c r="C6" s="71" t="s">
        <v>20</v>
      </c>
      <c r="BN6" s="9"/>
    </row>
    <row r="7" spans="2:66" x14ac:dyDescent="0.45">
      <c r="B7" s="8"/>
      <c r="D7" s="3" t="s">
        <v>21</v>
      </c>
      <c r="BN7" s="9"/>
    </row>
    <row r="8" spans="2:66" x14ac:dyDescent="0.45">
      <c r="B8" s="8"/>
      <c r="D8" s="3" t="s">
        <v>22</v>
      </c>
      <c r="BN8" s="9"/>
    </row>
    <row r="9" spans="2:66" x14ac:dyDescent="0.45">
      <c r="B9" s="8"/>
      <c r="BN9" s="9"/>
    </row>
    <row r="10" spans="2:66" x14ac:dyDescent="0.45">
      <c r="B10" s="8"/>
      <c r="C10" s="71" t="s">
        <v>23</v>
      </c>
      <c r="BN10" s="9"/>
    </row>
    <row r="11" spans="2:66" x14ac:dyDescent="0.45">
      <c r="B11" s="8"/>
      <c r="D11" s="3" t="s">
        <v>24</v>
      </c>
      <c r="BN11" s="9"/>
    </row>
    <row r="12" spans="2:66" x14ac:dyDescent="0.45">
      <c r="B12" s="8"/>
      <c r="BN12" s="9"/>
    </row>
    <row r="13" spans="2:66" x14ac:dyDescent="0.45">
      <c r="B13" s="8"/>
      <c r="C13" s="71" t="s">
        <v>25</v>
      </c>
      <c r="BN13" s="9"/>
    </row>
    <row r="14" spans="2:66" x14ac:dyDescent="0.45">
      <c r="B14" s="8"/>
      <c r="D14" s="3" t="s">
        <v>26</v>
      </c>
      <c r="BN14" s="9"/>
    </row>
    <row r="15" spans="2:66" x14ac:dyDescent="0.45">
      <c r="B15" s="8"/>
      <c r="BN15" s="9"/>
    </row>
    <row r="16" spans="2:66" x14ac:dyDescent="0.45">
      <c r="B16" s="8"/>
      <c r="C16" s="92" t="s">
        <v>271</v>
      </c>
      <c r="D16" s="1"/>
      <c r="E16" s="1"/>
      <c r="F16" s="1"/>
      <c r="G16" s="1"/>
      <c r="H16" s="1"/>
      <c r="BN16" s="9"/>
    </row>
    <row r="17" spans="2:66" x14ac:dyDescent="0.45">
      <c r="B17" s="8"/>
      <c r="C17" s="1"/>
      <c r="D17" s="1" t="s">
        <v>28</v>
      </c>
      <c r="E17" s="1"/>
      <c r="F17" s="1"/>
      <c r="G17" s="1"/>
      <c r="H17" s="1"/>
      <c r="BN17" s="9"/>
    </row>
    <row r="18" spans="2:66" x14ac:dyDescent="0.45">
      <c r="B18" s="8"/>
      <c r="C18" s="1"/>
      <c r="D18" s="1"/>
      <c r="E18" s="1"/>
      <c r="F18" s="1"/>
      <c r="G18" s="1"/>
      <c r="H18" s="1"/>
      <c r="BN18" s="9"/>
    </row>
    <row r="19" spans="2:66" x14ac:dyDescent="0.45">
      <c r="B19" s="8"/>
      <c r="BN19" s="9"/>
    </row>
    <row r="20" spans="2:66" x14ac:dyDescent="0.45">
      <c r="B20" s="8"/>
      <c r="C20" s="71" t="s">
        <v>27</v>
      </c>
      <c r="BN20" s="9"/>
    </row>
    <row r="21" spans="2:66" x14ac:dyDescent="0.45">
      <c r="B21" s="8"/>
      <c r="D21" s="3" t="s">
        <v>28</v>
      </c>
      <c r="BN21" s="9"/>
    </row>
    <row r="22" spans="2:66" x14ac:dyDescent="0.45">
      <c r="B22" s="8"/>
      <c r="BN22" s="9"/>
    </row>
    <row r="23" spans="2:66" x14ac:dyDescent="0.45">
      <c r="B23" s="8"/>
      <c r="BN23" s="9"/>
    </row>
    <row r="24" spans="2:66" x14ac:dyDescent="0.45">
      <c r="B24" s="8"/>
      <c r="C24" s="71" t="s">
        <v>29</v>
      </c>
      <c r="BN24" s="9"/>
    </row>
    <row r="25" spans="2:66" x14ac:dyDescent="0.45">
      <c r="B25" s="8"/>
      <c r="D25" s="3" t="s">
        <v>30</v>
      </c>
      <c r="BN25" s="9"/>
    </row>
    <row r="26" spans="2:66" x14ac:dyDescent="0.45">
      <c r="B26" s="8"/>
      <c r="E26" s="3" t="s">
        <v>31</v>
      </c>
      <c r="F26" s="3" t="s">
        <v>32</v>
      </c>
      <c r="BN26" s="9"/>
    </row>
    <row r="27" spans="2:66" x14ac:dyDescent="0.45">
      <c r="B27" s="8"/>
      <c r="E27" s="3" t="s">
        <v>31</v>
      </c>
      <c r="F27" s="3" t="s">
        <v>33</v>
      </c>
      <c r="BN27" s="9"/>
    </row>
    <row r="28" spans="2:66" x14ac:dyDescent="0.45">
      <c r="B28" s="8"/>
      <c r="E28" s="3" t="s">
        <v>31</v>
      </c>
      <c r="F28" s="3" t="s">
        <v>34</v>
      </c>
      <c r="BN28" s="9"/>
    </row>
    <row r="29" spans="2:66" x14ac:dyDescent="0.45">
      <c r="B29" s="8"/>
      <c r="BN29" s="9"/>
    </row>
    <row r="30" spans="2:66" x14ac:dyDescent="0.45">
      <c r="B30" s="10"/>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2"/>
    </row>
  </sheetData>
  <phoneticPr fontId="1"/>
  <pageMargins left="0.70866141732283472" right="0.70866141732283472" top="0.74803149606299213" bottom="0.74803149606299213" header="0.31496062992125984" footer="0.31496062992125984"/>
  <pageSetup paperSize="9" scale="68" fitToHeight="0"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7E05D-C624-478C-B337-58A97E3A0A08}">
  <sheetPr>
    <pageSetUpPr fitToPage="1"/>
  </sheetPr>
  <dimension ref="B3:T17"/>
  <sheetViews>
    <sheetView showGridLines="0" zoomScaleNormal="100" zoomScaleSheetLayoutView="100" workbookViewId="0"/>
  </sheetViews>
  <sheetFormatPr defaultColWidth="2.59765625" defaultRowHeight="15" x14ac:dyDescent="0.45"/>
  <cols>
    <col min="1" max="3" width="2.59765625" style="3"/>
    <col min="4" max="4" width="5.69921875" style="3" customWidth="1"/>
    <col min="5" max="5" width="40.69921875" style="3" customWidth="1"/>
    <col min="6" max="7" width="25" style="3" customWidth="1"/>
    <col min="8" max="8" width="36.69921875" style="3" customWidth="1"/>
    <col min="9" max="16384" width="2.59765625" style="3"/>
  </cols>
  <sheetData>
    <row r="3" spans="2:20" ht="22.8" x14ac:dyDescent="0.45">
      <c r="B3" s="70" t="s">
        <v>35</v>
      </c>
    </row>
    <row r="4" spans="2:20" ht="8.4" customHeight="1" x14ac:dyDescent="0.45"/>
    <row r="5" spans="2:20" ht="22.8" x14ac:dyDescent="0.45">
      <c r="B5" s="5"/>
      <c r="C5" s="6"/>
      <c r="D5" s="72"/>
      <c r="E5" s="6"/>
      <c r="F5" s="6"/>
      <c r="G5" s="6"/>
      <c r="H5" s="6"/>
      <c r="I5" s="6"/>
      <c r="J5" s="6"/>
      <c r="K5" s="6"/>
      <c r="L5" s="6"/>
      <c r="M5" s="6"/>
      <c r="N5" s="6"/>
      <c r="O5" s="6"/>
      <c r="P5" s="6"/>
      <c r="Q5" s="6"/>
      <c r="R5" s="6"/>
      <c r="S5" s="6"/>
      <c r="T5" s="7"/>
    </row>
    <row r="6" spans="2:20" x14ac:dyDescent="0.45">
      <c r="B6" s="8"/>
      <c r="C6" s="71" t="s">
        <v>36</v>
      </c>
      <c r="D6" s="11"/>
      <c r="T6" s="9"/>
    </row>
    <row r="7" spans="2:20" x14ac:dyDescent="0.45">
      <c r="B7" s="8"/>
      <c r="D7" s="116" t="s">
        <v>37</v>
      </c>
      <c r="E7" s="116" t="s">
        <v>38</v>
      </c>
      <c r="F7" s="116" t="s">
        <v>39</v>
      </c>
      <c r="G7" s="116"/>
      <c r="H7" s="117" t="s">
        <v>40</v>
      </c>
      <c r="T7" s="9"/>
    </row>
    <row r="8" spans="2:20" x14ac:dyDescent="0.45">
      <c r="B8" s="8"/>
      <c r="D8" s="116"/>
      <c r="E8" s="116"/>
      <c r="F8" s="29" t="s">
        <v>41</v>
      </c>
      <c r="G8" s="29" t="s">
        <v>42</v>
      </c>
      <c r="H8" s="118"/>
      <c r="T8" s="9"/>
    </row>
    <row r="9" spans="2:20" x14ac:dyDescent="0.45">
      <c r="B9" s="8"/>
      <c r="D9" s="27">
        <v>1</v>
      </c>
      <c r="E9" s="80" t="s">
        <v>43</v>
      </c>
      <c r="F9" s="81" t="s">
        <v>44</v>
      </c>
      <c r="G9" s="82" t="s">
        <v>45</v>
      </c>
      <c r="H9" s="77"/>
      <c r="T9" s="9"/>
    </row>
    <row r="10" spans="2:20" x14ac:dyDescent="0.45">
      <c r="B10" s="8"/>
      <c r="E10" s="83"/>
      <c r="F10" s="83"/>
      <c r="G10" s="83"/>
      <c r="T10" s="9"/>
    </row>
    <row r="11" spans="2:20" x14ac:dyDescent="0.45">
      <c r="B11" s="8"/>
      <c r="T11" s="9"/>
    </row>
    <row r="12" spans="2:20" x14ac:dyDescent="0.45">
      <c r="B12" s="8"/>
      <c r="C12" s="71" t="s">
        <v>46</v>
      </c>
      <c r="D12" s="11"/>
      <c r="T12" s="9"/>
    </row>
    <row r="13" spans="2:20" x14ac:dyDescent="0.45">
      <c r="B13" s="8"/>
      <c r="D13" s="116" t="s">
        <v>37</v>
      </c>
      <c r="E13" s="116" t="s">
        <v>38</v>
      </c>
      <c r="F13" s="116" t="s">
        <v>39</v>
      </c>
      <c r="G13" s="116"/>
      <c r="H13" s="117" t="s">
        <v>40</v>
      </c>
      <c r="T13" s="9"/>
    </row>
    <row r="14" spans="2:20" x14ac:dyDescent="0.45">
      <c r="B14" s="8"/>
      <c r="D14" s="116"/>
      <c r="E14" s="116"/>
      <c r="F14" s="29" t="s">
        <v>41</v>
      </c>
      <c r="G14" s="29" t="s">
        <v>42</v>
      </c>
      <c r="H14" s="118"/>
      <c r="T14" s="9"/>
    </row>
    <row r="15" spans="2:20" x14ac:dyDescent="0.45">
      <c r="B15" s="8"/>
      <c r="D15" s="27">
        <v>1</v>
      </c>
      <c r="E15" s="44" t="s">
        <v>47</v>
      </c>
      <c r="F15" s="27"/>
      <c r="G15" s="27"/>
      <c r="H15" s="22"/>
      <c r="T15" s="9"/>
    </row>
    <row r="16" spans="2:20" x14ac:dyDescent="0.45">
      <c r="B16" s="8"/>
      <c r="T16" s="9"/>
    </row>
    <row r="17" spans="2:20" x14ac:dyDescent="0.45">
      <c r="B17" s="10"/>
      <c r="C17" s="11"/>
      <c r="D17" s="11"/>
      <c r="E17" s="11"/>
      <c r="F17" s="11"/>
      <c r="G17" s="11"/>
      <c r="H17" s="11"/>
      <c r="I17" s="11"/>
      <c r="J17" s="11"/>
      <c r="K17" s="11"/>
      <c r="L17" s="11"/>
      <c r="M17" s="11"/>
      <c r="N17" s="11"/>
      <c r="O17" s="11"/>
      <c r="P17" s="11"/>
      <c r="Q17" s="11"/>
      <c r="R17" s="11"/>
      <c r="S17" s="11"/>
      <c r="T17" s="12"/>
    </row>
  </sheetData>
  <mergeCells count="8">
    <mergeCell ref="D7:D8"/>
    <mergeCell ref="D13:D14"/>
    <mergeCell ref="H13:H14"/>
    <mergeCell ref="H7:H8"/>
    <mergeCell ref="E7:E8"/>
    <mergeCell ref="F7:G7"/>
    <mergeCell ref="E13:E14"/>
    <mergeCell ref="F13:G13"/>
  </mergeCells>
  <phoneticPr fontId="1"/>
  <pageMargins left="0.70866141732283472" right="0.70866141732283472" top="0.74803149606299213" bottom="0.74803149606299213" header="0.31496062992125984" footer="0.31496062992125984"/>
  <pageSetup paperSize="9" scale="69" fitToHeight="0" orientation="landscape"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72746744-6EFE-435D-A8BA-9BCBA5D0B5D1}">
          <x14:formula1>
            <xm:f>'(非表示)リスト'!$F$2:$F$6</xm:f>
          </x14:formula1>
          <xm:sqref>G9 G15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351BF-C8C5-47A8-A73C-8D4C4B6C4E63}">
  <sheetPr>
    <pageSetUpPr fitToPage="1"/>
  </sheetPr>
  <dimension ref="B3:BN65"/>
  <sheetViews>
    <sheetView showGridLines="0" zoomScaleNormal="100" zoomScaleSheetLayoutView="100" workbookViewId="0"/>
  </sheetViews>
  <sheetFormatPr defaultColWidth="2.59765625" defaultRowHeight="15" x14ac:dyDescent="0.45"/>
  <cols>
    <col min="1" max="16384" width="2.59765625" style="3"/>
  </cols>
  <sheetData>
    <row r="3" spans="2:66" ht="22.8" x14ac:dyDescent="0.45">
      <c r="B3" s="70" t="s">
        <v>48</v>
      </c>
    </row>
    <row r="4" spans="2:66" ht="8.4" customHeight="1" x14ac:dyDescent="0.45"/>
    <row r="5" spans="2:66" x14ac:dyDescent="0.45">
      <c r="B5" s="5"/>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7"/>
    </row>
    <row r="6" spans="2:66" x14ac:dyDescent="0.45">
      <c r="B6" s="8"/>
      <c r="BN6" s="9"/>
    </row>
    <row r="7" spans="2:66" x14ac:dyDescent="0.45">
      <c r="B7" s="8"/>
      <c r="BN7" s="9"/>
    </row>
    <row r="8" spans="2:66" x14ac:dyDescent="0.45">
      <c r="B8" s="8"/>
      <c r="BN8" s="9"/>
    </row>
    <row r="9" spans="2:66" x14ac:dyDescent="0.45">
      <c r="B9" s="8"/>
      <c r="BN9" s="9"/>
    </row>
    <row r="10" spans="2:66" x14ac:dyDescent="0.45">
      <c r="B10" s="8"/>
      <c r="BN10" s="9"/>
    </row>
    <row r="11" spans="2:66" x14ac:dyDescent="0.45">
      <c r="B11" s="8"/>
      <c r="BN11" s="9"/>
    </row>
    <row r="12" spans="2:66" x14ac:dyDescent="0.45">
      <c r="B12" s="8"/>
      <c r="BN12" s="9"/>
    </row>
    <row r="13" spans="2:66" x14ac:dyDescent="0.45">
      <c r="B13" s="8"/>
      <c r="BN13" s="9"/>
    </row>
    <row r="14" spans="2:66" x14ac:dyDescent="0.45">
      <c r="B14" s="8"/>
      <c r="BN14" s="9"/>
    </row>
    <row r="15" spans="2:66" x14ac:dyDescent="0.45">
      <c r="B15" s="8"/>
      <c r="BN15" s="9"/>
    </row>
    <row r="16" spans="2:66" x14ac:dyDescent="0.45">
      <c r="B16" s="8"/>
      <c r="BN16" s="9"/>
    </row>
    <row r="17" spans="2:66" x14ac:dyDescent="0.45">
      <c r="B17" s="8"/>
      <c r="BN17" s="9"/>
    </row>
    <row r="18" spans="2:66" x14ac:dyDescent="0.45">
      <c r="B18" s="8"/>
      <c r="BN18" s="9"/>
    </row>
    <row r="19" spans="2:66" x14ac:dyDescent="0.45">
      <c r="B19" s="8"/>
      <c r="BN19" s="9"/>
    </row>
    <row r="20" spans="2:66" x14ac:dyDescent="0.45">
      <c r="B20" s="8"/>
      <c r="BN20" s="9"/>
    </row>
    <row r="21" spans="2:66" x14ac:dyDescent="0.45">
      <c r="B21" s="8"/>
      <c r="BN21" s="9"/>
    </row>
    <row r="22" spans="2:66" x14ac:dyDescent="0.45">
      <c r="B22" s="8"/>
      <c r="BN22" s="9"/>
    </row>
    <row r="23" spans="2:66" x14ac:dyDescent="0.45">
      <c r="B23" s="8"/>
      <c r="BN23" s="9"/>
    </row>
    <row r="24" spans="2:66" x14ac:dyDescent="0.45">
      <c r="B24" s="8"/>
      <c r="BN24" s="9"/>
    </row>
    <row r="25" spans="2:66" x14ac:dyDescent="0.45">
      <c r="B25" s="8"/>
      <c r="BN25" s="9"/>
    </row>
    <row r="26" spans="2:66" x14ac:dyDescent="0.45">
      <c r="B26" s="8"/>
      <c r="BN26" s="9"/>
    </row>
    <row r="27" spans="2:66" x14ac:dyDescent="0.45">
      <c r="B27" s="8"/>
      <c r="BN27" s="9"/>
    </row>
    <row r="28" spans="2:66" x14ac:dyDescent="0.45">
      <c r="B28" s="8"/>
      <c r="BN28" s="9"/>
    </row>
    <row r="29" spans="2:66" x14ac:dyDescent="0.45">
      <c r="B29" s="8"/>
      <c r="BN29" s="9"/>
    </row>
    <row r="30" spans="2:66" x14ac:dyDescent="0.45">
      <c r="B30" s="8"/>
      <c r="BN30" s="9"/>
    </row>
    <row r="31" spans="2:66" x14ac:dyDescent="0.45">
      <c r="B31" s="8"/>
      <c r="BN31" s="9"/>
    </row>
    <row r="32" spans="2:66" x14ac:dyDescent="0.45">
      <c r="B32" s="8"/>
      <c r="BN32" s="9"/>
    </row>
    <row r="33" spans="2:66" x14ac:dyDescent="0.45">
      <c r="B33" s="8"/>
      <c r="BN33" s="9"/>
    </row>
    <row r="34" spans="2:66" x14ac:dyDescent="0.45">
      <c r="B34" s="8"/>
      <c r="BN34" s="9"/>
    </row>
    <row r="35" spans="2:66" x14ac:dyDescent="0.45">
      <c r="B35" s="8"/>
      <c r="BN35" s="9"/>
    </row>
    <row r="36" spans="2:66" x14ac:dyDescent="0.45">
      <c r="B36" s="8"/>
      <c r="BN36" s="9"/>
    </row>
    <row r="37" spans="2:66" x14ac:dyDescent="0.45">
      <c r="B37" s="8"/>
      <c r="BN37" s="9"/>
    </row>
    <row r="38" spans="2:66" x14ac:dyDescent="0.45">
      <c r="B38" s="8"/>
      <c r="BN38" s="9"/>
    </row>
    <row r="39" spans="2:66" x14ac:dyDescent="0.45">
      <c r="B39" s="8"/>
      <c r="BN39" s="9"/>
    </row>
    <row r="40" spans="2:66" x14ac:dyDescent="0.45">
      <c r="B40" s="8"/>
      <c r="BN40" s="9"/>
    </row>
    <row r="41" spans="2:66" x14ac:dyDescent="0.45">
      <c r="B41" s="8"/>
      <c r="BN41" s="9"/>
    </row>
    <row r="42" spans="2:66" x14ac:dyDescent="0.45">
      <c r="B42" s="8"/>
      <c r="BN42" s="9"/>
    </row>
    <row r="43" spans="2:66" x14ac:dyDescent="0.45">
      <c r="B43" s="8"/>
      <c r="BN43" s="9"/>
    </row>
    <row r="44" spans="2:66" x14ac:dyDescent="0.45">
      <c r="B44" s="8"/>
      <c r="BN44" s="9"/>
    </row>
    <row r="45" spans="2:66" x14ac:dyDescent="0.45">
      <c r="B45" s="8"/>
      <c r="BN45" s="9"/>
    </row>
    <row r="46" spans="2:66" x14ac:dyDescent="0.45">
      <c r="B46" s="8"/>
      <c r="BN46" s="9"/>
    </row>
    <row r="47" spans="2:66" x14ac:dyDescent="0.45">
      <c r="B47" s="8"/>
      <c r="BN47" s="9"/>
    </row>
    <row r="48" spans="2:66" x14ac:dyDescent="0.45">
      <c r="B48" s="8"/>
      <c r="BN48" s="9"/>
    </row>
    <row r="49" spans="2:66" x14ac:dyDescent="0.45">
      <c r="B49" s="8"/>
      <c r="BN49" s="9"/>
    </row>
    <row r="50" spans="2:66" x14ac:dyDescent="0.45">
      <c r="B50" s="8"/>
      <c r="BN50" s="9"/>
    </row>
    <row r="51" spans="2:66" x14ac:dyDescent="0.45">
      <c r="B51" s="8"/>
      <c r="BN51" s="9"/>
    </row>
    <row r="52" spans="2:66" x14ac:dyDescent="0.45">
      <c r="B52" s="8"/>
      <c r="BN52" s="9"/>
    </row>
    <row r="53" spans="2:66" x14ac:dyDescent="0.45">
      <c r="B53" s="8"/>
      <c r="BN53" s="9"/>
    </row>
    <row r="54" spans="2:66" x14ac:dyDescent="0.45">
      <c r="B54" s="8"/>
      <c r="BN54" s="9"/>
    </row>
    <row r="55" spans="2:66" x14ac:dyDescent="0.45">
      <c r="B55" s="8"/>
      <c r="BN55" s="9"/>
    </row>
    <row r="56" spans="2:66" x14ac:dyDescent="0.45">
      <c r="B56" s="8"/>
      <c r="BN56" s="9"/>
    </row>
    <row r="57" spans="2:66" x14ac:dyDescent="0.45">
      <c r="B57" s="8"/>
      <c r="BN57" s="9"/>
    </row>
    <row r="58" spans="2:66" x14ac:dyDescent="0.45">
      <c r="B58" s="8"/>
      <c r="BN58" s="9"/>
    </row>
    <row r="59" spans="2:66" x14ac:dyDescent="0.45">
      <c r="B59" s="8"/>
      <c r="BN59" s="9"/>
    </row>
    <row r="60" spans="2:66" x14ac:dyDescent="0.45">
      <c r="B60" s="8"/>
      <c r="BN60" s="9"/>
    </row>
    <row r="61" spans="2:66" x14ac:dyDescent="0.45">
      <c r="B61" s="8"/>
      <c r="BN61" s="9"/>
    </row>
    <row r="62" spans="2:66" x14ac:dyDescent="0.45">
      <c r="B62" s="8"/>
      <c r="BN62" s="9"/>
    </row>
    <row r="63" spans="2:66" x14ac:dyDescent="0.45">
      <c r="B63" s="8"/>
      <c r="BN63" s="9"/>
    </row>
    <row r="64" spans="2:66" x14ac:dyDescent="0.45">
      <c r="B64" s="8"/>
      <c r="BN64" s="9"/>
    </row>
    <row r="65" spans="2:66" x14ac:dyDescent="0.45">
      <c r="B65" s="10"/>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2"/>
    </row>
  </sheetData>
  <phoneticPr fontId="1"/>
  <pageMargins left="0.70866141732283472" right="0.70866141732283472" top="0.74803149606299213" bottom="0.74803149606299213" header="0.31496062992125984" footer="0.31496062992125984"/>
  <pageSetup paperSize="9" scale="68" fitToHeight="0"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86FA1-AA31-45FE-9AA7-BA5426769AC6}">
  <sheetPr>
    <pageSetUpPr fitToPage="1"/>
  </sheetPr>
  <dimension ref="B3:O11"/>
  <sheetViews>
    <sheetView showGridLines="0" zoomScaleNormal="100" zoomScaleSheetLayoutView="100" workbookViewId="0"/>
  </sheetViews>
  <sheetFormatPr defaultColWidth="2.59765625" defaultRowHeight="15" x14ac:dyDescent="0.45"/>
  <cols>
    <col min="1" max="1" width="2.59765625" style="3"/>
    <col min="2" max="2" width="4.3984375" style="3" customWidth="1"/>
    <col min="3" max="3" width="25.19921875" style="3" customWidth="1"/>
    <col min="4" max="4" width="6.19921875" style="3" customWidth="1"/>
    <col min="5" max="5" width="14.8984375" style="3" customWidth="1"/>
    <col min="6" max="6" width="7.3984375" style="3" customWidth="1"/>
    <col min="7" max="7" width="5" style="3" bestFit="1" customWidth="1"/>
    <col min="8" max="8" width="13.3984375" style="3" customWidth="1"/>
    <col min="9" max="9" width="13.19921875" style="3" bestFit="1" customWidth="1"/>
    <col min="10" max="10" width="20.59765625" style="3" customWidth="1"/>
    <col min="11" max="12" width="16" style="3" customWidth="1"/>
    <col min="13" max="14" width="30.59765625" style="3" customWidth="1"/>
    <col min="15" max="15" width="18.09765625" style="3" customWidth="1"/>
    <col min="16" max="16384" width="2.59765625" style="3"/>
  </cols>
  <sheetData>
    <row r="3" spans="2:15" ht="22.8" x14ac:dyDescent="0.45">
      <c r="B3" s="70" t="s">
        <v>49</v>
      </c>
    </row>
    <row r="4" spans="2:15" ht="8.4" customHeight="1" x14ac:dyDescent="0.45"/>
    <row r="5" spans="2:15" x14ac:dyDescent="0.45">
      <c r="B5" s="119" t="s">
        <v>50</v>
      </c>
      <c r="C5" s="119" t="s">
        <v>51</v>
      </c>
      <c r="D5" s="119" t="s">
        <v>52</v>
      </c>
      <c r="E5" s="119" t="s">
        <v>53</v>
      </c>
      <c r="F5" s="119" t="s">
        <v>54</v>
      </c>
      <c r="G5" s="119" t="s">
        <v>55</v>
      </c>
      <c r="H5" s="119" t="s">
        <v>56</v>
      </c>
      <c r="I5" s="119" t="s">
        <v>57</v>
      </c>
      <c r="J5" s="119" t="s">
        <v>58</v>
      </c>
      <c r="K5" s="121" t="s">
        <v>59</v>
      </c>
      <c r="L5" s="121"/>
      <c r="M5" s="119" t="s">
        <v>242</v>
      </c>
      <c r="N5" s="119" t="s">
        <v>243</v>
      </c>
      <c r="O5" s="119" t="s">
        <v>60</v>
      </c>
    </row>
    <row r="6" spans="2:15" x14ac:dyDescent="0.45">
      <c r="B6" s="120"/>
      <c r="C6" s="120"/>
      <c r="D6" s="120"/>
      <c r="E6" s="120"/>
      <c r="F6" s="120"/>
      <c r="G6" s="120"/>
      <c r="H6" s="120"/>
      <c r="I6" s="120"/>
      <c r="J6" s="120"/>
      <c r="K6" s="32" t="s">
        <v>61</v>
      </c>
      <c r="L6" s="32" t="s">
        <v>241</v>
      </c>
      <c r="M6" s="120"/>
      <c r="N6" s="120"/>
      <c r="O6" s="120"/>
    </row>
    <row r="7" spans="2:15" ht="31.5" customHeight="1" x14ac:dyDescent="0.45">
      <c r="B7" s="27">
        <f>ROW()-6</f>
        <v>1</v>
      </c>
      <c r="C7" s="46" t="s">
        <v>62</v>
      </c>
      <c r="D7" s="30" t="s">
        <v>63</v>
      </c>
      <c r="E7" s="30" t="s">
        <v>64</v>
      </c>
      <c r="F7" s="30" t="s">
        <v>45</v>
      </c>
      <c r="G7" s="43" t="s">
        <v>44</v>
      </c>
      <c r="H7" s="30" t="s">
        <v>45</v>
      </c>
      <c r="I7" s="43" t="s">
        <v>45</v>
      </c>
      <c r="J7" s="43" t="s">
        <v>44</v>
      </c>
      <c r="K7" s="43" t="s">
        <v>44</v>
      </c>
      <c r="L7" s="43" t="s">
        <v>44</v>
      </c>
      <c r="M7" s="65" t="s">
        <v>65</v>
      </c>
      <c r="N7" s="43" t="s">
        <v>44</v>
      </c>
      <c r="O7" s="65"/>
    </row>
    <row r="8" spans="2:15" ht="31.5" customHeight="1" x14ac:dyDescent="0.45">
      <c r="B8" s="27">
        <f t="shared" ref="B8:B11" si="0">ROW()-6</f>
        <v>2</v>
      </c>
      <c r="C8" s="46" t="s">
        <v>66</v>
      </c>
      <c r="D8" s="30" t="s">
        <v>63</v>
      </c>
      <c r="E8" s="30" t="s">
        <v>67</v>
      </c>
      <c r="F8" s="30" t="s">
        <v>68</v>
      </c>
      <c r="G8" s="43" t="s">
        <v>45</v>
      </c>
      <c r="H8" s="30" t="s">
        <v>45</v>
      </c>
      <c r="I8" s="43" t="s">
        <v>45</v>
      </c>
      <c r="J8" s="65" t="s">
        <v>69</v>
      </c>
      <c r="K8" s="65" t="s">
        <v>70</v>
      </c>
      <c r="L8" s="43" t="s">
        <v>45</v>
      </c>
      <c r="M8" s="43" t="s">
        <v>44</v>
      </c>
      <c r="N8" s="43" t="s">
        <v>44</v>
      </c>
      <c r="O8" s="46"/>
    </row>
    <row r="9" spans="2:15" ht="31.5" customHeight="1" x14ac:dyDescent="0.45">
      <c r="B9" s="27">
        <f t="shared" si="0"/>
        <v>3</v>
      </c>
      <c r="C9" s="46" t="s">
        <v>71</v>
      </c>
      <c r="D9" s="30" t="s">
        <v>72</v>
      </c>
      <c r="E9" s="30" t="s">
        <v>73</v>
      </c>
      <c r="F9" s="30" t="s">
        <v>74</v>
      </c>
      <c r="G9" s="43" t="s">
        <v>44</v>
      </c>
      <c r="H9" s="30" t="s">
        <v>45</v>
      </c>
      <c r="I9" s="43" t="s">
        <v>45</v>
      </c>
      <c r="J9" s="43" t="s">
        <v>45</v>
      </c>
      <c r="K9" s="43" t="s">
        <v>45</v>
      </c>
      <c r="L9" s="43" t="s">
        <v>45</v>
      </c>
      <c r="M9" s="43" t="s">
        <v>44</v>
      </c>
      <c r="N9" s="65" t="s">
        <v>75</v>
      </c>
      <c r="O9" s="65"/>
    </row>
    <row r="10" spans="2:15" ht="45" x14ac:dyDescent="0.45">
      <c r="B10" s="27">
        <f t="shared" si="0"/>
        <v>4</v>
      </c>
      <c r="C10" s="46" t="s">
        <v>76</v>
      </c>
      <c r="D10" s="30" t="s">
        <v>77</v>
      </c>
      <c r="E10" s="30" t="s">
        <v>73</v>
      </c>
      <c r="F10" s="30" t="s">
        <v>74</v>
      </c>
      <c r="G10" s="43" t="s">
        <v>45</v>
      </c>
      <c r="H10" s="30" t="s">
        <v>45</v>
      </c>
      <c r="I10" s="46" t="s">
        <v>78</v>
      </c>
      <c r="J10" s="43" t="s">
        <v>45</v>
      </c>
      <c r="K10" s="43" t="s">
        <v>45</v>
      </c>
      <c r="L10" s="43" t="s">
        <v>45</v>
      </c>
      <c r="M10" s="43" t="s">
        <v>44</v>
      </c>
      <c r="N10" s="43" t="s">
        <v>44</v>
      </c>
      <c r="O10" s="46"/>
    </row>
    <row r="11" spans="2:15" ht="31.5" customHeight="1" x14ac:dyDescent="0.45">
      <c r="B11" s="27">
        <f t="shared" si="0"/>
        <v>5</v>
      </c>
      <c r="C11" s="46" t="s">
        <v>76</v>
      </c>
      <c r="D11" s="30" t="s">
        <v>63</v>
      </c>
      <c r="E11" s="30" t="s">
        <v>79</v>
      </c>
      <c r="F11" s="30" t="s">
        <v>45</v>
      </c>
      <c r="G11" s="43" t="s">
        <v>45</v>
      </c>
      <c r="H11" s="30" t="s">
        <v>45</v>
      </c>
      <c r="I11" s="43" t="s">
        <v>45</v>
      </c>
      <c r="J11" s="43" t="s">
        <v>45</v>
      </c>
      <c r="K11" s="43" t="s">
        <v>45</v>
      </c>
      <c r="L11" s="43" t="s">
        <v>45</v>
      </c>
      <c r="M11" s="65" t="s">
        <v>65</v>
      </c>
      <c r="N11" s="43" t="s">
        <v>44</v>
      </c>
      <c r="O11" s="65"/>
    </row>
  </sheetData>
  <mergeCells count="13">
    <mergeCell ref="B5:B6"/>
    <mergeCell ref="F5:F6"/>
    <mergeCell ref="K5:L5"/>
    <mergeCell ref="N5:N6"/>
    <mergeCell ref="O5:O6"/>
    <mergeCell ref="J5:J6"/>
    <mergeCell ref="I5:I6"/>
    <mergeCell ref="H5:H6"/>
    <mergeCell ref="G5:G6"/>
    <mergeCell ref="E5:E6"/>
    <mergeCell ref="D5:D6"/>
    <mergeCell ref="C5:C6"/>
    <mergeCell ref="M5:M6"/>
  </mergeCells>
  <phoneticPr fontId="1"/>
  <pageMargins left="0.70866141732283472" right="0.70866141732283472" top="0.74803149606299213" bottom="0.74803149606299213" header="0.31496062992125984" footer="0.31496062992125984"/>
  <pageSetup paperSize="9" scale="68" fitToHeight="0" orientation="landscape" r:id="rId1"/>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xr:uid="{7EBC69DD-3E1C-4FDC-8CBA-0147C76AF11E}">
          <x14:formula1>
            <xm:f>'(非表示)リスト'!$A$2:$A$10</xm:f>
          </x14:formula1>
          <xm:sqref>E7:E11</xm:sqref>
        </x14:dataValidation>
        <x14:dataValidation type="list" allowBlank="1" showInputMessage="1" showErrorMessage="1" xr:uid="{DA298591-F66D-4C46-A58C-70FEF2589ACC}">
          <x14:formula1>
            <xm:f>'(非表示)リスト'!$C$2:$C$5</xm:f>
          </x14:formula1>
          <xm:sqref>D7:D11</xm:sqref>
        </x14:dataValidation>
        <x14:dataValidation type="list" allowBlank="1" showInputMessage="1" showErrorMessage="1" xr:uid="{2B425065-07BA-44E5-8609-2338D67602E5}">
          <x14:formula1>
            <xm:f>'(非表示)リスト'!$D$2:$D$5</xm:f>
          </x14:formula1>
          <xm:sqref>F7:F11</xm:sqref>
        </x14:dataValidation>
        <x14:dataValidation type="list" allowBlank="1" showInputMessage="1" showErrorMessage="1" xr:uid="{B7BF45B3-34E3-4D70-9B9C-33B50D333293}">
          <x14:formula1>
            <xm:f>'(非表示)リスト'!$B$2:$B$11</xm:f>
          </x14:formula1>
          <xm:sqref>H7:H11</xm:sqref>
        </x14:dataValidation>
        <x14:dataValidation type="list" allowBlank="1" showInputMessage="1" showErrorMessage="1" xr:uid="{B842FD51-6EA6-443F-B66D-D8FCEBA1BFD9}">
          <x14:formula1>
            <xm:f>'(非表示)リスト'!$E$2:$E$5</xm:f>
          </x14:formula1>
          <xm:sqref>N10:N11 N7:N8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137BA-6E71-4DC0-9D28-F74F951A1221}">
  <sheetPr>
    <pageSetUpPr fitToPage="1"/>
  </sheetPr>
  <dimension ref="B3:G22"/>
  <sheetViews>
    <sheetView showGridLines="0" zoomScaleNormal="100" zoomScaleSheetLayoutView="85" workbookViewId="0"/>
  </sheetViews>
  <sheetFormatPr defaultColWidth="2.59765625" defaultRowHeight="15" x14ac:dyDescent="0.45"/>
  <cols>
    <col min="1" max="1" width="2.59765625" style="3"/>
    <col min="2" max="2" width="5.19921875" style="3" customWidth="1"/>
    <col min="3" max="3" width="27.59765625" style="3" customWidth="1"/>
    <col min="4" max="4" width="37.59765625" style="3" customWidth="1"/>
    <col min="5" max="5" width="5.09765625" style="3" customWidth="1"/>
    <col min="6" max="6" width="64.19921875" style="3" customWidth="1"/>
    <col min="7" max="7" width="30.59765625" style="3" customWidth="1"/>
    <col min="8" max="13" width="2.59765625" style="3"/>
    <col min="14" max="14" width="5.09765625" style="3" customWidth="1"/>
    <col min="15" max="15" width="43.09765625" style="3" customWidth="1"/>
    <col min="16" max="16" width="5.09765625" style="3" customWidth="1"/>
    <col min="17" max="17" width="43.09765625" style="3" customWidth="1"/>
    <col min="18" max="16384" width="2.59765625" style="3"/>
  </cols>
  <sheetData>
    <row r="3" spans="2:7" ht="22.8" x14ac:dyDescent="0.45">
      <c r="B3" s="70" t="s">
        <v>80</v>
      </c>
    </row>
    <row r="4" spans="2:7" ht="8.4" customHeight="1" x14ac:dyDescent="0.45"/>
    <row r="5" spans="2:7" ht="18.75" customHeight="1" x14ac:dyDescent="0.45">
      <c r="B5" s="31" t="s">
        <v>50</v>
      </c>
      <c r="C5" s="33" t="s">
        <v>81</v>
      </c>
      <c r="D5" s="33" t="s">
        <v>82</v>
      </c>
      <c r="E5" s="33" t="s">
        <v>83</v>
      </c>
      <c r="F5" s="33"/>
      <c r="G5" s="33" t="s">
        <v>84</v>
      </c>
    </row>
    <row r="6" spans="2:7" x14ac:dyDescent="0.45">
      <c r="B6" s="126">
        <v>1</v>
      </c>
      <c r="C6" s="123" t="s">
        <v>85</v>
      </c>
      <c r="D6" s="124" t="s">
        <v>86</v>
      </c>
      <c r="E6" s="63" t="s">
        <v>87</v>
      </c>
      <c r="F6" s="45" t="s">
        <v>88</v>
      </c>
      <c r="G6" s="60" t="s">
        <v>89</v>
      </c>
    </row>
    <row r="7" spans="2:7" x14ac:dyDescent="0.45">
      <c r="B7" s="126"/>
      <c r="C7" s="124"/>
      <c r="D7" s="124"/>
      <c r="E7" s="63" t="s">
        <v>90</v>
      </c>
      <c r="F7" s="68" t="s">
        <v>91</v>
      </c>
      <c r="G7" s="60" t="s">
        <v>92</v>
      </c>
    </row>
    <row r="8" spans="2:7" x14ac:dyDescent="0.45">
      <c r="B8" s="127"/>
      <c r="C8" s="125"/>
      <c r="D8" s="125"/>
      <c r="E8" s="62"/>
      <c r="F8" s="69"/>
      <c r="G8" s="61"/>
    </row>
    <row r="9" spans="2:7" x14ac:dyDescent="0.45">
      <c r="B9" s="126">
        <v>2</v>
      </c>
      <c r="C9" s="123" t="s">
        <v>93</v>
      </c>
      <c r="D9" s="124" t="s">
        <v>94</v>
      </c>
      <c r="E9" s="63" t="s">
        <v>95</v>
      </c>
      <c r="F9" s="68" t="s">
        <v>96</v>
      </c>
      <c r="G9" s="37" t="s">
        <v>97</v>
      </c>
    </row>
    <row r="10" spans="2:7" ht="30" x14ac:dyDescent="0.45">
      <c r="B10" s="126"/>
      <c r="C10" s="124"/>
      <c r="D10" s="124"/>
      <c r="E10" s="63" t="s">
        <v>98</v>
      </c>
      <c r="F10" s="68" t="s">
        <v>266</v>
      </c>
      <c r="G10" s="90" t="s">
        <v>261</v>
      </c>
    </row>
    <row r="11" spans="2:7" x14ac:dyDescent="0.45">
      <c r="B11" s="127"/>
      <c r="C11" s="125"/>
      <c r="D11" s="125"/>
      <c r="E11" s="62"/>
      <c r="F11" s="69"/>
      <c r="G11" s="61"/>
    </row>
    <row r="12" spans="2:7" x14ac:dyDescent="0.45">
      <c r="B12" s="126">
        <v>3</v>
      </c>
      <c r="C12" s="123" t="s">
        <v>99</v>
      </c>
      <c r="D12" s="124" t="s">
        <v>100</v>
      </c>
      <c r="E12" s="63" t="s">
        <v>101</v>
      </c>
      <c r="F12" s="91" t="s">
        <v>249</v>
      </c>
      <c r="G12" s="90" t="s">
        <v>251</v>
      </c>
    </row>
    <row r="13" spans="2:7" x14ac:dyDescent="0.45">
      <c r="B13" s="126"/>
      <c r="C13" s="124"/>
      <c r="D13" s="124"/>
      <c r="E13" s="63" t="s">
        <v>102</v>
      </c>
      <c r="F13" s="91" t="s">
        <v>250</v>
      </c>
      <c r="G13" s="90" t="s">
        <v>262</v>
      </c>
    </row>
    <row r="14" spans="2:7" x14ac:dyDescent="0.45">
      <c r="B14" s="127"/>
      <c r="C14" s="125"/>
      <c r="D14" s="125"/>
      <c r="E14" s="62"/>
      <c r="F14" s="69"/>
      <c r="G14" s="61"/>
    </row>
    <row r="15" spans="2:7" x14ac:dyDescent="0.45">
      <c r="B15" s="126">
        <v>4</v>
      </c>
      <c r="C15" s="123" t="s">
        <v>103</v>
      </c>
      <c r="D15" s="124" t="s">
        <v>104</v>
      </c>
      <c r="E15" s="63" t="s">
        <v>105</v>
      </c>
      <c r="F15" s="68" t="s">
        <v>88</v>
      </c>
      <c r="G15" s="60" t="s">
        <v>106</v>
      </c>
    </row>
    <row r="16" spans="2:7" ht="30" x14ac:dyDescent="0.45">
      <c r="B16" s="126"/>
      <c r="C16" s="124"/>
      <c r="D16" s="124"/>
      <c r="E16" s="122" t="s">
        <v>107</v>
      </c>
      <c r="F16" s="45" t="s">
        <v>108</v>
      </c>
      <c r="G16" s="37" t="s">
        <v>109</v>
      </c>
    </row>
    <row r="17" spans="2:7" ht="30" x14ac:dyDescent="0.45">
      <c r="B17" s="126"/>
      <c r="C17" s="124"/>
      <c r="D17" s="124"/>
      <c r="E17" s="122"/>
      <c r="F17" s="45" t="s">
        <v>110</v>
      </c>
      <c r="G17" s="89" t="s">
        <v>267</v>
      </c>
    </row>
    <row r="18" spans="2:7" x14ac:dyDescent="0.45">
      <c r="B18" s="126"/>
      <c r="C18" s="124"/>
      <c r="D18" s="124"/>
      <c r="E18" s="63" t="s">
        <v>111</v>
      </c>
      <c r="F18" s="45" t="s">
        <v>112</v>
      </c>
      <c r="G18" s="37" t="s">
        <v>113</v>
      </c>
    </row>
    <row r="19" spans="2:7" x14ac:dyDescent="0.45">
      <c r="B19" s="126"/>
      <c r="C19" s="124"/>
      <c r="D19" s="124"/>
      <c r="E19" s="67" t="s">
        <v>114</v>
      </c>
      <c r="F19" s="45" t="s">
        <v>115</v>
      </c>
      <c r="G19" s="37" t="s">
        <v>116</v>
      </c>
    </row>
    <row r="20" spans="2:7" x14ac:dyDescent="0.45">
      <c r="B20" s="126"/>
      <c r="C20" s="124"/>
      <c r="D20" s="124"/>
      <c r="E20" s="63" t="s">
        <v>117</v>
      </c>
      <c r="F20" s="45" t="s">
        <v>118</v>
      </c>
      <c r="G20" s="60"/>
    </row>
    <row r="21" spans="2:7" x14ac:dyDescent="0.45">
      <c r="B21" s="126"/>
      <c r="C21" s="124"/>
      <c r="D21" s="124"/>
      <c r="E21" s="63"/>
      <c r="F21" s="45" t="s">
        <v>119</v>
      </c>
      <c r="G21" s="60"/>
    </row>
    <row r="22" spans="2:7" x14ac:dyDescent="0.45">
      <c r="B22" s="127"/>
      <c r="C22" s="125"/>
      <c r="D22" s="125"/>
      <c r="E22" s="62"/>
      <c r="F22" s="64"/>
      <c r="G22" s="61"/>
    </row>
  </sheetData>
  <mergeCells count="13">
    <mergeCell ref="E16:E17"/>
    <mergeCell ref="C12:C14"/>
    <mergeCell ref="C9:C11"/>
    <mergeCell ref="C6:C8"/>
    <mergeCell ref="B12:B14"/>
    <mergeCell ref="B9:B11"/>
    <mergeCell ref="B6:B8"/>
    <mergeCell ref="C15:C22"/>
    <mergeCell ref="B15:B22"/>
    <mergeCell ref="D6:D8"/>
    <mergeCell ref="D12:D14"/>
    <mergeCell ref="D9:D11"/>
    <mergeCell ref="D15:D22"/>
  </mergeCells>
  <phoneticPr fontId="1"/>
  <pageMargins left="0.70866141732283472" right="0.70866141732283472" top="0.74803149606299213" bottom="0.74803149606299213" header="0.31496062992125984" footer="0.31496062992125984"/>
  <pageSetup paperSize="9" scale="68" fitToHeight="0"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3C617-13A8-48C9-9EDE-AA115C7E36FE}">
  <sheetPr>
    <pageSetUpPr fitToPage="1"/>
  </sheetPr>
  <dimension ref="B3:S12"/>
  <sheetViews>
    <sheetView showGridLines="0" zoomScaleNormal="100" zoomScaleSheetLayoutView="85" workbookViewId="0"/>
  </sheetViews>
  <sheetFormatPr defaultColWidth="2.59765625" defaultRowHeight="15" x14ac:dyDescent="0.45"/>
  <cols>
    <col min="1" max="1" width="2.59765625" style="3"/>
    <col min="2" max="2" width="2.59765625" style="3" customWidth="1"/>
    <col min="3" max="5" width="43.59765625" style="3" customWidth="1"/>
    <col min="6" max="16384" width="2.59765625" style="3"/>
  </cols>
  <sheetData>
    <row r="3" spans="2:19" ht="22.8" x14ac:dyDescent="0.45">
      <c r="B3" s="84" t="s">
        <v>244</v>
      </c>
    </row>
    <row r="4" spans="2:19" ht="8.4" customHeight="1" x14ac:dyDescent="0.45"/>
    <row r="5" spans="2:19" ht="15" customHeight="1" x14ac:dyDescent="0.45">
      <c r="B5" s="5"/>
      <c r="C5" s="6"/>
      <c r="D5" s="6"/>
      <c r="E5" s="6"/>
      <c r="F5" s="6"/>
      <c r="G5" s="6"/>
      <c r="H5" s="6"/>
      <c r="I5" s="6"/>
      <c r="J5" s="6"/>
      <c r="K5" s="6"/>
      <c r="L5" s="6"/>
      <c r="M5" s="6"/>
      <c r="N5" s="6"/>
      <c r="O5" s="6"/>
      <c r="P5" s="6"/>
      <c r="Q5" s="6"/>
      <c r="R5" s="6"/>
      <c r="S5" s="7"/>
    </row>
    <row r="6" spans="2:19" x14ac:dyDescent="0.45">
      <c r="B6" s="8"/>
      <c r="C6" s="85" t="s">
        <v>252</v>
      </c>
      <c r="D6" s="128" t="s">
        <v>245</v>
      </c>
      <c r="E6" s="129"/>
      <c r="S6" s="9"/>
    </row>
    <row r="7" spans="2:19" x14ac:dyDescent="0.45">
      <c r="B7" s="8"/>
      <c r="C7" s="85" t="s">
        <v>253</v>
      </c>
      <c r="D7" s="130" t="s">
        <v>254</v>
      </c>
      <c r="E7" s="131"/>
      <c r="S7" s="9"/>
    </row>
    <row r="8" spans="2:19" x14ac:dyDescent="0.45">
      <c r="B8" s="8"/>
      <c r="C8" s="86" t="s">
        <v>255</v>
      </c>
      <c r="D8" s="86" t="s">
        <v>248</v>
      </c>
      <c r="E8" s="86" t="s">
        <v>240</v>
      </c>
      <c r="S8" s="9"/>
    </row>
    <row r="9" spans="2:19" x14ac:dyDescent="0.45">
      <c r="B9" s="8"/>
      <c r="C9" s="80" t="s">
        <v>256</v>
      </c>
      <c r="D9" s="87" t="s">
        <v>273</v>
      </c>
      <c r="E9" s="88"/>
      <c r="S9" s="9"/>
    </row>
    <row r="10" spans="2:19" x14ac:dyDescent="0.45">
      <c r="B10" s="8"/>
      <c r="C10" s="80" t="s">
        <v>257</v>
      </c>
      <c r="D10" s="87" t="b">
        <v>0</v>
      </c>
      <c r="E10" s="88"/>
      <c r="S10" s="9"/>
    </row>
    <row r="11" spans="2:19" x14ac:dyDescent="0.45">
      <c r="B11" s="8"/>
      <c r="C11" s="74"/>
      <c r="D11" s="75"/>
      <c r="E11" s="75"/>
      <c r="S11" s="9"/>
    </row>
    <row r="12" spans="2:19" x14ac:dyDescent="0.45">
      <c r="B12" s="10"/>
      <c r="C12" s="11"/>
      <c r="D12" s="11"/>
      <c r="E12" s="11"/>
      <c r="F12" s="11"/>
      <c r="G12" s="11"/>
      <c r="H12" s="11"/>
      <c r="I12" s="11"/>
      <c r="J12" s="11"/>
      <c r="K12" s="11"/>
      <c r="L12" s="11"/>
      <c r="M12" s="11"/>
      <c r="N12" s="11"/>
      <c r="O12" s="11"/>
      <c r="P12" s="11"/>
      <c r="Q12" s="11"/>
      <c r="R12" s="11"/>
      <c r="S12" s="12"/>
    </row>
  </sheetData>
  <mergeCells count="2">
    <mergeCell ref="D6:E6"/>
    <mergeCell ref="D7:E7"/>
  </mergeCells>
  <phoneticPr fontId="1"/>
  <pageMargins left="0.70866141732283472" right="0.70866141732283472" top="0.74803149606299213" bottom="0.74803149606299213" header="0.31496062992125984" footer="0.31496062992125984"/>
  <pageSetup paperSize="9" scale="68" fitToHeight="0"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902BE-1ECD-4749-9022-96133D049F68}">
  <sheetPr>
    <pageSetUpPr fitToPage="1"/>
  </sheetPr>
  <dimension ref="B3:S15"/>
  <sheetViews>
    <sheetView showGridLines="0" zoomScaleNormal="100" zoomScaleSheetLayoutView="85" workbookViewId="0"/>
  </sheetViews>
  <sheetFormatPr defaultColWidth="2.59765625" defaultRowHeight="15" x14ac:dyDescent="0.45"/>
  <cols>
    <col min="1" max="1" width="2.59765625" style="3"/>
    <col min="2" max="2" width="2.59765625" style="3" customWidth="1"/>
    <col min="3" max="5" width="43.59765625" style="3" customWidth="1"/>
    <col min="6" max="16384" width="2.59765625" style="3"/>
  </cols>
  <sheetData>
    <row r="3" spans="2:19" ht="22.8" x14ac:dyDescent="0.45">
      <c r="B3" s="84" t="s">
        <v>247</v>
      </c>
    </row>
    <row r="4" spans="2:19" ht="8.4" customHeight="1" x14ac:dyDescent="0.45"/>
    <row r="5" spans="2:19" ht="15" customHeight="1" x14ac:dyDescent="0.45">
      <c r="B5" s="5"/>
      <c r="C5" s="6"/>
      <c r="D5" s="6"/>
      <c r="E5" s="6"/>
      <c r="F5" s="6"/>
      <c r="G5" s="6"/>
      <c r="H5" s="6"/>
      <c r="I5" s="6"/>
      <c r="J5" s="6"/>
      <c r="K5" s="6"/>
      <c r="L5" s="6"/>
      <c r="M5" s="6"/>
      <c r="N5" s="6"/>
      <c r="O5" s="6"/>
      <c r="P5" s="6"/>
      <c r="Q5" s="6"/>
      <c r="R5" s="6"/>
      <c r="S5" s="7"/>
    </row>
    <row r="6" spans="2:19" x14ac:dyDescent="0.45">
      <c r="B6" s="8"/>
      <c r="C6" s="85" t="s">
        <v>258</v>
      </c>
      <c r="D6" s="128" t="s">
        <v>245</v>
      </c>
      <c r="E6" s="129"/>
      <c r="S6" s="9"/>
    </row>
    <row r="7" spans="2:19" x14ac:dyDescent="0.45">
      <c r="B7" s="8"/>
      <c r="C7" s="86" t="s">
        <v>259</v>
      </c>
      <c r="D7" s="86" t="s">
        <v>248</v>
      </c>
      <c r="E7" s="86" t="s">
        <v>240</v>
      </c>
      <c r="S7" s="9"/>
    </row>
    <row r="8" spans="2:19" x14ac:dyDescent="0.45">
      <c r="B8" s="8"/>
      <c r="C8" s="80" t="s">
        <v>272</v>
      </c>
      <c r="D8" s="87" t="s">
        <v>264</v>
      </c>
      <c r="E8" s="88"/>
      <c r="S8" s="9"/>
    </row>
    <row r="9" spans="2:19" x14ac:dyDescent="0.45">
      <c r="B9" s="8"/>
      <c r="C9" s="80" t="s">
        <v>265</v>
      </c>
      <c r="D9" s="87" t="s">
        <v>263</v>
      </c>
      <c r="E9" s="88"/>
      <c r="S9" s="9"/>
    </row>
    <row r="10" spans="2:19" x14ac:dyDescent="0.45">
      <c r="B10" s="8"/>
      <c r="C10" s="74"/>
      <c r="D10" s="75"/>
      <c r="E10" s="75"/>
      <c r="S10" s="9"/>
    </row>
    <row r="11" spans="2:19" x14ac:dyDescent="0.45">
      <c r="B11" s="8"/>
      <c r="C11" s="85" t="s">
        <v>258</v>
      </c>
      <c r="D11" s="128" t="s">
        <v>246</v>
      </c>
      <c r="E11" s="129"/>
      <c r="S11" s="9"/>
    </row>
    <row r="12" spans="2:19" x14ac:dyDescent="0.45">
      <c r="B12" s="8"/>
      <c r="C12" s="86" t="s">
        <v>259</v>
      </c>
      <c r="D12" s="86" t="s">
        <v>248</v>
      </c>
      <c r="E12" s="86" t="s">
        <v>240</v>
      </c>
      <c r="S12" s="9"/>
    </row>
    <row r="13" spans="2:19" x14ac:dyDescent="0.45">
      <c r="B13" s="8"/>
      <c r="C13" s="80" t="s">
        <v>260</v>
      </c>
      <c r="D13" s="87" t="s">
        <v>70</v>
      </c>
      <c r="E13" s="88"/>
      <c r="S13" s="9"/>
    </row>
    <row r="14" spans="2:19" x14ac:dyDescent="0.45">
      <c r="B14" s="8"/>
      <c r="C14" s="74"/>
      <c r="D14" s="75"/>
      <c r="E14" s="75"/>
      <c r="S14" s="9"/>
    </row>
    <row r="15" spans="2:19" x14ac:dyDescent="0.45">
      <c r="B15" s="10"/>
      <c r="C15" s="11"/>
      <c r="D15" s="11"/>
      <c r="E15" s="11"/>
      <c r="F15" s="11"/>
      <c r="G15" s="11"/>
      <c r="H15" s="11"/>
      <c r="I15" s="11"/>
      <c r="J15" s="11"/>
      <c r="K15" s="11"/>
      <c r="L15" s="11"/>
      <c r="M15" s="11"/>
      <c r="N15" s="11"/>
      <c r="O15" s="11"/>
      <c r="P15" s="11"/>
      <c r="Q15" s="11"/>
      <c r="R15" s="11"/>
      <c r="S15" s="12"/>
    </row>
  </sheetData>
  <mergeCells count="2">
    <mergeCell ref="D6:E6"/>
    <mergeCell ref="D11:E11"/>
  </mergeCells>
  <phoneticPr fontId="1"/>
  <pageMargins left="0.70866141732283472" right="0.70866141732283472" top="0.74803149606299213" bottom="0.74803149606299213" header="0.31496062992125984" footer="0.31496062992125984"/>
  <pageSetup paperSize="9" scale="68" fitToHeight="0"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E96C7-830A-4ABA-B7B1-2498377F9B09}">
  <sheetPr>
    <pageSetUpPr fitToPage="1"/>
  </sheetPr>
  <dimension ref="B3:AB79"/>
  <sheetViews>
    <sheetView showGridLines="0" zoomScaleNormal="100" zoomScaleSheetLayoutView="70" workbookViewId="0"/>
  </sheetViews>
  <sheetFormatPr defaultColWidth="2.59765625" defaultRowHeight="15" x14ac:dyDescent="0.45"/>
  <cols>
    <col min="1" max="2" width="2.59765625" style="3"/>
    <col min="3" max="3" width="4.19921875" style="3" customWidth="1"/>
    <col min="4" max="4" width="30.69921875" style="3" customWidth="1"/>
    <col min="5" max="5" width="36.3984375" style="3" customWidth="1"/>
    <col min="6" max="6" width="30.3984375" style="3" customWidth="1"/>
    <col min="7" max="7" width="10.09765625" style="3" customWidth="1"/>
    <col min="8" max="8" width="2.69921875" style="3" customWidth="1"/>
    <col min="9" max="16384" width="2.59765625" style="3"/>
  </cols>
  <sheetData>
    <row r="3" spans="2:28" ht="22.8" x14ac:dyDescent="0.45">
      <c r="B3" s="70" t="s">
        <v>120</v>
      </c>
    </row>
    <row r="4" spans="2:28" ht="8.4" customHeight="1" x14ac:dyDescent="0.45"/>
    <row r="5" spans="2:28" x14ac:dyDescent="0.45">
      <c r="B5" s="5"/>
      <c r="C5" s="6"/>
      <c r="D5" s="73"/>
      <c r="E5" s="6"/>
      <c r="F5" s="6"/>
      <c r="G5" s="6"/>
      <c r="H5" s="6"/>
      <c r="I5" s="6"/>
      <c r="J5" s="6"/>
      <c r="K5" s="6"/>
      <c r="L5" s="6"/>
      <c r="M5" s="6"/>
      <c r="N5" s="6"/>
      <c r="O5" s="6"/>
      <c r="P5" s="6"/>
      <c r="Q5" s="6"/>
      <c r="R5" s="6"/>
      <c r="S5" s="6"/>
      <c r="T5" s="6"/>
      <c r="U5" s="6"/>
      <c r="V5" s="6"/>
      <c r="W5" s="6"/>
      <c r="X5" s="6"/>
      <c r="Y5" s="6"/>
      <c r="Z5" s="6"/>
      <c r="AA5" s="6"/>
      <c r="AB5" s="7"/>
    </row>
    <row r="6" spans="2:28" ht="15" customHeight="1" x14ac:dyDescent="0.45">
      <c r="B6" s="8"/>
      <c r="C6" s="93" t="s">
        <v>277</v>
      </c>
      <c r="AB6" s="9"/>
    </row>
    <row r="7" spans="2:28" ht="15" customHeight="1" x14ac:dyDescent="0.45">
      <c r="B7" s="8"/>
      <c r="AB7" s="9"/>
    </row>
    <row r="8" spans="2:28" x14ac:dyDescent="0.45">
      <c r="B8" s="8"/>
      <c r="C8" s="71" t="s">
        <v>121</v>
      </c>
      <c r="D8" s="23"/>
      <c r="AB8" s="9"/>
    </row>
    <row r="9" spans="2:28" x14ac:dyDescent="0.45">
      <c r="B9" s="8"/>
      <c r="D9" s="34" t="s">
        <v>122</v>
      </c>
      <c r="E9" s="142" t="s">
        <v>123</v>
      </c>
      <c r="F9" s="143"/>
      <c r="G9" s="144"/>
      <c r="AB9" s="9"/>
    </row>
    <row r="10" spans="2:28" x14ac:dyDescent="0.45">
      <c r="B10" s="8"/>
      <c r="D10" s="34" t="s">
        <v>81</v>
      </c>
      <c r="E10" s="142" t="s">
        <v>124</v>
      </c>
      <c r="F10" s="143"/>
      <c r="G10" s="144"/>
      <c r="AB10" s="9"/>
    </row>
    <row r="11" spans="2:28" ht="13.95" customHeight="1" x14ac:dyDescent="0.45">
      <c r="B11" s="8"/>
      <c r="D11" s="132" t="s">
        <v>268</v>
      </c>
      <c r="E11" s="132"/>
      <c r="F11" s="132"/>
      <c r="G11" s="132"/>
      <c r="AB11" s="9"/>
    </row>
    <row r="12" spans="2:28" ht="29.25" customHeight="1" x14ac:dyDescent="0.45">
      <c r="B12" s="8"/>
      <c r="D12" s="133" t="s">
        <v>269</v>
      </c>
      <c r="E12" s="133"/>
      <c r="F12" s="133"/>
      <c r="G12" s="133"/>
      <c r="AB12" s="9"/>
    </row>
    <row r="13" spans="2:28" ht="13.95" customHeight="1" x14ac:dyDescent="0.45">
      <c r="B13" s="8"/>
      <c r="D13" s="36" t="s">
        <v>125</v>
      </c>
      <c r="E13" s="157" t="s">
        <v>126</v>
      </c>
      <c r="F13" s="158"/>
      <c r="G13" s="36" t="s">
        <v>127</v>
      </c>
      <c r="AB13" s="9"/>
    </row>
    <row r="14" spans="2:28" x14ac:dyDescent="0.45">
      <c r="B14" s="8"/>
      <c r="D14" s="44" t="s">
        <v>128</v>
      </c>
      <c r="E14" s="152" t="s">
        <v>26</v>
      </c>
      <c r="F14" s="153"/>
      <c r="G14" s="27"/>
      <c r="AB14" s="9"/>
    </row>
    <row r="15" spans="2:28" ht="13.95" customHeight="1" x14ac:dyDescent="0.45">
      <c r="B15" s="8"/>
      <c r="D15" s="116" t="s">
        <v>129</v>
      </c>
      <c r="E15" s="116"/>
      <c r="F15" s="154" t="s">
        <v>130</v>
      </c>
      <c r="G15" s="154"/>
      <c r="AB15" s="9"/>
    </row>
    <row r="16" spans="2:28" x14ac:dyDescent="0.45">
      <c r="B16" s="8"/>
      <c r="D16" s="155" t="s">
        <v>26</v>
      </c>
      <c r="E16" s="155"/>
      <c r="F16" s="156"/>
      <c r="G16" s="156"/>
      <c r="AB16" s="9"/>
    </row>
    <row r="17" spans="2:28" ht="13.95" customHeight="1" x14ac:dyDescent="0.45">
      <c r="B17" s="8"/>
      <c r="D17" s="132" t="s">
        <v>131</v>
      </c>
      <c r="E17" s="132"/>
      <c r="F17" s="132"/>
      <c r="G17" s="132"/>
      <c r="AB17" s="9"/>
    </row>
    <row r="18" spans="2:28" x14ac:dyDescent="0.45">
      <c r="B18" s="8"/>
      <c r="D18" s="133" t="s">
        <v>26</v>
      </c>
      <c r="E18" s="133"/>
      <c r="F18" s="133"/>
      <c r="G18" s="133"/>
      <c r="AB18" s="9"/>
    </row>
    <row r="19" spans="2:28" ht="13.95" customHeight="1" x14ac:dyDescent="0.45">
      <c r="B19" s="8"/>
      <c r="D19" s="132" t="s">
        <v>132</v>
      </c>
      <c r="E19" s="132"/>
      <c r="F19" s="132"/>
      <c r="G19" s="132"/>
      <c r="AB19" s="9"/>
    </row>
    <row r="20" spans="2:28" x14ac:dyDescent="0.45">
      <c r="B20" s="8"/>
      <c r="D20" s="133" t="s">
        <v>133</v>
      </c>
      <c r="E20" s="133"/>
      <c r="F20" s="133"/>
      <c r="G20" s="133"/>
      <c r="AB20" s="9"/>
    </row>
    <row r="21" spans="2:28" ht="13.95" customHeight="1" x14ac:dyDescent="0.45">
      <c r="B21" s="8"/>
      <c r="D21" s="132" t="s">
        <v>134</v>
      </c>
      <c r="E21" s="132"/>
      <c r="F21" s="132"/>
      <c r="G21" s="132"/>
      <c r="AB21" s="9"/>
    </row>
    <row r="22" spans="2:28" x14ac:dyDescent="0.45">
      <c r="B22" s="8"/>
      <c r="D22" s="133" t="s">
        <v>26</v>
      </c>
      <c r="E22" s="133"/>
      <c r="F22" s="133"/>
      <c r="G22" s="133"/>
      <c r="AB22" s="9"/>
    </row>
    <row r="23" spans="2:28" x14ac:dyDescent="0.45">
      <c r="B23" s="8"/>
      <c r="D23" s="74"/>
      <c r="E23" s="75"/>
      <c r="F23" s="75"/>
      <c r="G23" s="75"/>
      <c r="AB23" s="9"/>
    </row>
    <row r="24" spans="2:28" x14ac:dyDescent="0.45">
      <c r="B24" s="8"/>
      <c r="D24" s="34" t="s">
        <v>122</v>
      </c>
      <c r="E24" s="141" t="s">
        <v>135</v>
      </c>
      <c r="F24" s="141"/>
      <c r="G24" s="141"/>
      <c r="AB24" s="9"/>
    </row>
    <row r="25" spans="2:28" x14ac:dyDescent="0.45">
      <c r="B25" s="8"/>
      <c r="D25" s="34" t="s">
        <v>81</v>
      </c>
      <c r="E25" s="142" t="s">
        <v>136</v>
      </c>
      <c r="F25" s="143"/>
      <c r="G25" s="144"/>
      <c r="AB25" s="9"/>
    </row>
    <row r="26" spans="2:28" ht="13.95" customHeight="1" x14ac:dyDescent="0.45">
      <c r="B26" s="8"/>
      <c r="D26" s="132" t="s">
        <v>268</v>
      </c>
      <c r="E26" s="132"/>
      <c r="F26" s="132"/>
      <c r="G26" s="132"/>
      <c r="AB26" s="9"/>
    </row>
    <row r="27" spans="2:28" ht="57.6" customHeight="1" x14ac:dyDescent="0.45">
      <c r="B27" s="8"/>
      <c r="D27" s="170" t="s">
        <v>278</v>
      </c>
      <c r="E27" s="171"/>
      <c r="F27" s="171"/>
      <c r="G27" s="171"/>
      <c r="AB27" s="9"/>
    </row>
    <row r="28" spans="2:28" ht="13.95" customHeight="1" x14ac:dyDescent="0.45">
      <c r="B28" s="8"/>
      <c r="D28" s="36" t="s">
        <v>125</v>
      </c>
      <c r="E28" s="150" t="s">
        <v>126</v>
      </c>
      <c r="F28" s="151"/>
      <c r="G28" s="36" t="s">
        <v>127</v>
      </c>
      <c r="AB28" s="9"/>
    </row>
    <row r="29" spans="2:28" x14ac:dyDescent="0.45">
      <c r="B29" s="8"/>
      <c r="D29" s="44" t="s">
        <v>137</v>
      </c>
      <c r="E29" s="152" t="s">
        <v>26</v>
      </c>
      <c r="F29" s="153"/>
      <c r="G29" s="27"/>
      <c r="AB29" s="9"/>
    </row>
    <row r="30" spans="2:28" x14ac:dyDescent="0.45">
      <c r="B30" s="8"/>
      <c r="D30" s="44" t="s">
        <v>138</v>
      </c>
      <c r="E30" s="136" t="s">
        <v>139</v>
      </c>
      <c r="F30" s="137"/>
      <c r="G30" s="27" t="s">
        <v>140</v>
      </c>
      <c r="AB30" s="9"/>
    </row>
    <row r="31" spans="2:28" x14ac:dyDescent="0.45">
      <c r="B31" s="8"/>
      <c r="D31" s="44" t="s">
        <v>128</v>
      </c>
      <c r="E31" s="134" t="s">
        <v>141</v>
      </c>
      <c r="F31" s="135"/>
      <c r="G31" s="27" t="s">
        <v>140</v>
      </c>
      <c r="AB31" s="9"/>
    </row>
    <row r="32" spans="2:28" ht="13.95" customHeight="1" x14ac:dyDescent="0.45">
      <c r="B32" s="8"/>
      <c r="D32" s="116" t="s">
        <v>129</v>
      </c>
      <c r="E32" s="116"/>
      <c r="F32" s="154" t="s">
        <v>130</v>
      </c>
      <c r="G32" s="154"/>
      <c r="AB32" s="9"/>
    </row>
    <row r="33" spans="2:28" x14ac:dyDescent="0.45">
      <c r="B33" s="8"/>
      <c r="D33" s="155" t="s">
        <v>142</v>
      </c>
      <c r="E33" s="155"/>
      <c r="F33" s="156"/>
      <c r="G33" s="156"/>
      <c r="AB33" s="9"/>
    </row>
    <row r="34" spans="2:28" ht="13.95" customHeight="1" x14ac:dyDescent="0.45">
      <c r="B34" s="8"/>
      <c r="D34" s="132" t="s">
        <v>131</v>
      </c>
      <c r="E34" s="132"/>
      <c r="F34" s="132"/>
      <c r="G34" s="132"/>
      <c r="AB34" s="9"/>
    </row>
    <row r="35" spans="2:28" x14ac:dyDescent="0.45">
      <c r="B35" s="8"/>
      <c r="D35" s="133" t="s">
        <v>26</v>
      </c>
      <c r="E35" s="133"/>
      <c r="F35" s="133"/>
      <c r="G35" s="133"/>
      <c r="AB35" s="9"/>
    </row>
    <row r="36" spans="2:28" ht="13.95" customHeight="1" x14ac:dyDescent="0.45">
      <c r="B36" s="8"/>
      <c r="D36" s="132" t="s">
        <v>132</v>
      </c>
      <c r="E36" s="132"/>
      <c r="F36" s="132"/>
      <c r="G36" s="132"/>
      <c r="AB36" s="9"/>
    </row>
    <row r="37" spans="2:28" x14ac:dyDescent="0.45">
      <c r="B37" s="8"/>
      <c r="D37" s="133" t="s">
        <v>26</v>
      </c>
      <c r="E37" s="133"/>
      <c r="F37" s="133"/>
      <c r="G37" s="133"/>
      <c r="AB37" s="9"/>
    </row>
    <row r="38" spans="2:28" ht="13.95" customHeight="1" x14ac:dyDescent="0.45">
      <c r="B38" s="8"/>
      <c r="D38" s="132" t="s">
        <v>134</v>
      </c>
      <c r="E38" s="132"/>
      <c r="F38" s="132"/>
      <c r="G38" s="132"/>
      <c r="AB38" s="9"/>
    </row>
    <row r="39" spans="2:28" x14ac:dyDescent="0.45">
      <c r="B39" s="8"/>
      <c r="D39" s="133" t="s">
        <v>26</v>
      </c>
      <c r="E39" s="133"/>
      <c r="F39" s="133"/>
      <c r="G39" s="133"/>
      <c r="AB39" s="9"/>
    </row>
    <row r="40" spans="2:28" x14ac:dyDescent="0.45">
      <c r="B40" s="8"/>
      <c r="AB40" s="9"/>
    </row>
    <row r="41" spans="2:28" x14ac:dyDescent="0.45">
      <c r="B41" s="8"/>
      <c r="AB41" s="9"/>
    </row>
    <row r="42" spans="2:28" x14ac:dyDescent="0.45">
      <c r="B42" s="8"/>
      <c r="C42" s="76" t="s">
        <v>62</v>
      </c>
      <c r="E42" s="75"/>
      <c r="F42" s="75"/>
      <c r="G42" s="75"/>
      <c r="AB42" s="9"/>
    </row>
    <row r="43" spans="2:28" x14ac:dyDescent="0.45">
      <c r="B43" s="8"/>
      <c r="D43" s="34" t="s">
        <v>122</v>
      </c>
      <c r="E43" s="141" t="s">
        <v>143</v>
      </c>
      <c r="F43" s="141"/>
      <c r="G43" s="141"/>
      <c r="AB43" s="9"/>
    </row>
    <row r="44" spans="2:28" x14ac:dyDescent="0.45">
      <c r="B44" s="8"/>
      <c r="D44" s="34" t="s">
        <v>81</v>
      </c>
      <c r="E44" s="142" t="s">
        <v>144</v>
      </c>
      <c r="F44" s="143"/>
      <c r="G44" s="144"/>
      <c r="AB44" s="9"/>
    </row>
    <row r="45" spans="2:28" x14ac:dyDescent="0.45">
      <c r="B45" s="8"/>
      <c r="D45" s="66" t="s">
        <v>145</v>
      </c>
      <c r="E45" s="142" t="s">
        <v>137</v>
      </c>
      <c r="F45" s="143"/>
      <c r="G45" s="144"/>
      <c r="AB45" s="9"/>
    </row>
    <row r="46" spans="2:28" x14ac:dyDescent="0.45">
      <c r="B46" s="8"/>
      <c r="D46" s="118" t="s">
        <v>146</v>
      </c>
      <c r="E46" s="116" t="s">
        <v>147</v>
      </c>
      <c r="F46" s="116"/>
      <c r="G46" s="116"/>
      <c r="AB46" s="9"/>
    </row>
    <row r="47" spans="2:28" x14ac:dyDescent="0.45">
      <c r="B47" s="8"/>
      <c r="D47" s="116"/>
      <c r="E47" s="29" t="s">
        <v>148</v>
      </c>
      <c r="F47" s="116" t="s">
        <v>149</v>
      </c>
      <c r="G47" s="116"/>
      <c r="AB47" s="9"/>
    </row>
    <row r="48" spans="2:28" x14ac:dyDescent="0.45">
      <c r="B48" s="8"/>
      <c r="D48" s="22" t="s">
        <v>150</v>
      </c>
      <c r="E48" s="22" t="s">
        <v>151</v>
      </c>
      <c r="F48" s="141"/>
      <c r="G48" s="141"/>
      <c r="AB48" s="9"/>
    </row>
    <row r="49" spans="2:28" x14ac:dyDescent="0.45">
      <c r="B49" s="8"/>
      <c r="D49" s="22" t="s">
        <v>152</v>
      </c>
      <c r="E49" s="22" t="s">
        <v>153</v>
      </c>
      <c r="F49" s="141"/>
      <c r="G49" s="141"/>
      <c r="AB49" s="9"/>
    </row>
    <row r="50" spans="2:28" x14ac:dyDescent="0.45">
      <c r="B50" s="8"/>
      <c r="D50" s="22" t="s">
        <v>154</v>
      </c>
      <c r="E50" s="22" t="s">
        <v>155</v>
      </c>
      <c r="F50" s="141"/>
      <c r="G50" s="141"/>
      <c r="AB50" s="9"/>
    </row>
    <row r="51" spans="2:28" x14ac:dyDescent="0.45">
      <c r="B51" s="8"/>
      <c r="D51" s="74"/>
      <c r="E51" s="75"/>
      <c r="F51" s="75"/>
      <c r="G51" s="75"/>
      <c r="AB51" s="9"/>
    </row>
    <row r="52" spans="2:28" x14ac:dyDescent="0.45">
      <c r="B52" s="8"/>
      <c r="D52" s="34" t="s">
        <v>122</v>
      </c>
      <c r="E52" s="141" t="s">
        <v>156</v>
      </c>
      <c r="F52" s="141"/>
      <c r="G52" s="141"/>
      <c r="AB52" s="9"/>
    </row>
    <row r="53" spans="2:28" x14ac:dyDescent="0.45">
      <c r="B53" s="8"/>
      <c r="D53" s="34" t="s">
        <v>81</v>
      </c>
      <c r="E53" s="142" t="s">
        <v>144</v>
      </c>
      <c r="F53" s="143"/>
      <c r="G53" s="144"/>
      <c r="AB53" s="9"/>
    </row>
    <row r="54" spans="2:28" x14ac:dyDescent="0.45">
      <c r="B54" s="8"/>
      <c r="D54" s="66" t="s">
        <v>145</v>
      </c>
      <c r="E54" s="142" t="s">
        <v>157</v>
      </c>
      <c r="F54" s="143"/>
      <c r="G54" s="144"/>
      <c r="AB54" s="9"/>
    </row>
    <row r="55" spans="2:28" x14ac:dyDescent="0.45">
      <c r="B55" s="8"/>
      <c r="D55" s="118" t="s">
        <v>146</v>
      </c>
      <c r="E55" s="116" t="s">
        <v>147</v>
      </c>
      <c r="F55" s="116"/>
      <c r="G55" s="116"/>
      <c r="AB55" s="9"/>
    </row>
    <row r="56" spans="2:28" x14ac:dyDescent="0.45">
      <c r="B56" s="8"/>
      <c r="D56" s="116"/>
      <c r="E56" s="29" t="s">
        <v>148</v>
      </c>
      <c r="F56" s="116" t="s">
        <v>149</v>
      </c>
      <c r="G56" s="116"/>
      <c r="AB56" s="9"/>
    </row>
    <row r="57" spans="2:28" ht="34.5" customHeight="1" x14ac:dyDescent="0.45">
      <c r="B57" s="8"/>
      <c r="D57" s="22" t="s">
        <v>150</v>
      </c>
      <c r="E57" s="22" t="s">
        <v>158</v>
      </c>
      <c r="F57" s="148" t="s">
        <v>159</v>
      </c>
      <c r="G57" s="148"/>
      <c r="AB57" s="9"/>
    </row>
    <row r="58" spans="2:28" x14ac:dyDescent="0.45">
      <c r="B58" s="8"/>
      <c r="D58" s="22" t="s">
        <v>160</v>
      </c>
      <c r="E58" s="22" t="s">
        <v>161</v>
      </c>
      <c r="F58" s="149"/>
      <c r="G58" s="149"/>
      <c r="AB58" s="9"/>
    </row>
    <row r="59" spans="2:28" x14ac:dyDescent="0.45">
      <c r="B59" s="8"/>
      <c r="D59" s="74"/>
      <c r="E59" s="75"/>
      <c r="F59" s="75"/>
      <c r="G59" s="75"/>
      <c r="AB59" s="9"/>
    </row>
    <row r="60" spans="2:28" x14ac:dyDescent="0.45">
      <c r="B60" s="8"/>
      <c r="D60" s="74"/>
      <c r="E60" s="75"/>
      <c r="F60" s="75"/>
      <c r="G60" s="75"/>
      <c r="AB60" s="9"/>
    </row>
    <row r="61" spans="2:28" x14ac:dyDescent="0.45">
      <c r="B61" s="8"/>
      <c r="C61" s="76" t="s">
        <v>162</v>
      </c>
      <c r="E61" s="75"/>
      <c r="F61" s="75"/>
      <c r="G61" s="75"/>
      <c r="AB61" s="9"/>
    </row>
    <row r="62" spans="2:28" x14ac:dyDescent="0.45">
      <c r="B62" s="8"/>
      <c r="D62" s="34" t="s">
        <v>122</v>
      </c>
      <c r="E62" s="141" t="s">
        <v>163</v>
      </c>
      <c r="F62" s="141"/>
      <c r="G62" s="141"/>
      <c r="AB62" s="9"/>
    </row>
    <row r="63" spans="2:28" x14ac:dyDescent="0.45">
      <c r="B63" s="8"/>
      <c r="D63" s="34" t="s">
        <v>81</v>
      </c>
      <c r="E63" s="142" t="s">
        <v>144</v>
      </c>
      <c r="F63" s="143"/>
      <c r="G63" s="144"/>
      <c r="AB63" s="9"/>
    </row>
    <row r="64" spans="2:28" x14ac:dyDescent="0.45">
      <c r="B64" s="8"/>
      <c r="D64" s="66" t="s">
        <v>145</v>
      </c>
      <c r="E64" s="142" t="s">
        <v>137</v>
      </c>
      <c r="F64" s="143"/>
      <c r="G64" s="144"/>
      <c r="AB64" s="9"/>
    </row>
    <row r="65" spans="2:28" x14ac:dyDescent="0.45">
      <c r="B65" s="8"/>
      <c r="D65" s="118" t="s">
        <v>146</v>
      </c>
      <c r="E65" s="116" t="s">
        <v>147</v>
      </c>
      <c r="F65" s="116"/>
      <c r="G65" s="116"/>
      <c r="AB65" s="9"/>
    </row>
    <row r="66" spans="2:28" x14ac:dyDescent="0.45">
      <c r="B66" s="8"/>
      <c r="D66" s="116"/>
      <c r="E66" s="29" t="s">
        <v>148</v>
      </c>
      <c r="F66" s="116" t="s">
        <v>149</v>
      </c>
      <c r="G66" s="116"/>
      <c r="AB66" s="9"/>
    </row>
    <row r="67" spans="2:28" x14ac:dyDescent="0.45">
      <c r="B67" s="8"/>
      <c r="D67" s="22" t="s">
        <v>154</v>
      </c>
      <c r="E67" s="22" t="s">
        <v>155</v>
      </c>
      <c r="F67" s="141"/>
      <c r="G67" s="141"/>
      <c r="AB67" s="9"/>
    </row>
    <row r="68" spans="2:28" ht="13.95" customHeight="1" x14ac:dyDescent="0.45">
      <c r="B68" s="8"/>
      <c r="D68" s="132" t="s">
        <v>164</v>
      </c>
      <c r="E68" s="132"/>
      <c r="F68" s="132"/>
      <c r="G68" s="132"/>
      <c r="AB68" s="9"/>
    </row>
    <row r="69" spans="2:28" x14ac:dyDescent="0.45">
      <c r="B69" s="8"/>
      <c r="D69" s="147" t="s">
        <v>165</v>
      </c>
      <c r="E69" s="147"/>
      <c r="F69" s="147"/>
      <c r="G69" s="147"/>
      <c r="AB69" s="9"/>
    </row>
    <row r="70" spans="2:28" x14ac:dyDescent="0.45">
      <c r="B70" s="8"/>
      <c r="AB70" s="9"/>
    </row>
    <row r="71" spans="2:28" x14ac:dyDescent="0.45">
      <c r="B71" s="8"/>
      <c r="AB71" s="9"/>
    </row>
    <row r="72" spans="2:28" x14ac:dyDescent="0.45">
      <c r="B72" s="8"/>
      <c r="C72" s="76" t="s">
        <v>166</v>
      </c>
      <c r="E72" s="75"/>
      <c r="F72" s="75"/>
      <c r="G72" s="75"/>
      <c r="AB72" s="9"/>
    </row>
    <row r="73" spans="2:28" x14ac:dyDescent="0.45">
      <c r="B73" s="8"/>
      <c r="D73" s="34" t="s">
        <v>122</v>
      </c>
      <c r="E73" s="142" t="s">
        <v>167</v>
      </c>
      <c r="F73" s="143"/>
      <c r="G73" s="144"/>
      <c r="AB73" s="9"/>
    </row>
    <row r="74" spans="2:28" x14ac:dyDescent="0.45">
      <c r="B74" s="8"/>
      <c r="D74" s="34" t="s">
        <v>81</v>
      </c>
      <c r="E74" s="142" t="s">
        <v>144</v>
      </c>
      <c r="F74" s="143"/>
      <c r="G74" s="144"/>
      <c r="AB74" s="9"/>
    </row>
    <row r="75" spans="2:28" x14ac:dyDescent="0.45">
      <c r="B75" s="8"/>
      <c r="D75" s="66" t="s">
        <v>145</v>
      </c>
      <c r="E75" s="142" t="s">
        <v>168</v>
      </c>
      <c r="F75" s="143"/>
      <c r="G75" s="144"/>
      <c r="AB75" s="9"/>
    </row>
    <row r="76" spans="2:28" ht="13.95" customHeight="1" x14ac:dyDescent="0.45">
      <c r="B76" s="8"/>
      <c r="D76" s="138" t="s">
        <v>169</v>
      </c>
      <c r="E76" s="139"/>
      <c r="F76" s="139"/>
      <c r="G76" s="140"/>
      <c r="AB76" s="9"/>
    </row>
    <row r="77" spans="2:28" x14ac:dyDescent="0.45">
      <c r="B77" s="8"/>
      <c r="D77" s="145" t="s">
        <v>170</v>
      </c>
      <c r="E77" s="146"/>
      <c r="F77" s="146"/>
      <c r="G77" s="137"/>
      <c r="AB77" s="9"/>
    </row>
    <row r="78" spans="2:28" x14ac:dyDescent="0.45">
      <c r="B78" s="8"/>
      <c r="AB78" s="9"/>
    </row>
    <row r="79" spans="2:28" x14ac:dyDescent="0.45">
      <c r="B79" s="10"/>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2"/>
    </row>
  </sheetData>
  <mergeCells count="65">
    <mergeCell ref="D11:G11"/>
    <mergeCell ref="D12:G12"/>
    <mergeCell ref="D26:G26"/>
    <mergeCell ref="D27:G27"/>
    <mergeCell ref="E9:G9"/>
    <mergeCell ref="E10:G10"/>
    <mergeCell ref="E13:F13"/>
    <mergeCell ref="E14:F14"/>
    <mergeCell ref="D15:E15"/>
    <mergeCell ref="F15:G15"/>
    <mergeCell ref="D16:E16"/>
    <mergeCell ref="F16:G16"/>
    <mergeCell ref="F48:G48"/>
    <mergeCell ref="E43:G43"/>
    <mergeCell ref="E24:G24"/>
    <mergeCell ref="E25:G25"/>
    <mergeCell ref="E28:F28"/>
    <mergeCell ref="E29:F29"/>
    <mergeCell ref="E44:G44"/>
    <mergeCell ref="E45:G45"/>
    <mergeCell ref="D32:E32"/>
    <mergeCell ref="F32:G32"/>
    <mergeCell ref="D33:E33"/>
    <mergeCell ref="F33:G33"/>
    <mergeCell ref="D46:D47"/>
    <mergeCell ref="E46:G46"/>
    <mergeCell ref="F47:G47"/>
    <mergeCell ref="D34:G34"/>
    <mergeCell ref="D77:G77"/>
    <mergeCell ref="D17:G17"/>
    <mergeCell ref="D18:G18"/>
    <mergeCell ref="D19:G19"/>
    <mergeCell ref="D20:G20"/>
    <mergeCell ref="F67:G67"/>
    <mergeCell ref="D68:G68"/>
    <mergeCell ref="D69:G69"/>
    <mergeCell ref="E73:G73"/>
    <mergeCell ref="E74:G74"/>
    <mergeCell ref="E75:G75"/>
    <mergeCell ref="F57:G57"/>
    <mergeCell ref="F58:G58"/>
    <mergeCell ref="E62:G62"/>
    <mergeCell ref="E63:G63"/>
    <mergeCell ref="E64:G64"/>
    <mergeCell ref="E30:F30"/>
    <mergeCell ref="D21:G21"/>
    <mergeCell ref="D22:G22"/>
    <mergeCell ref="D35:G35"/>
    <mergeCell ref="D76:G76"/>
    <mergeCell ref="D65:D66"/>
    <mergeCell ref="E65:G65"/>
    <mergeCell ref="F66:G66"/>
    <mergeCell ref="F49:G49"/>
    <mergeCell ref="F50:G50"/>
    <mergeCell ref="E52:G52"/>
    <mergeCell ref="E53:G53"/>
    <mergeCell ref="E54:G54"/>
    <mergeCell ref="D55:D56"/>
    <mergeCell ref="E55:G55"/>
    <mergeCell ref="F56:G56"/>
    <mergeCell ref="D36:G36"/>
    <mergeCell ref="D37:G37"/>
    <mergeCell ref="D38:G38"/>
    <mergeCell ref="D39:G39"/>
    <mergeCell ref="E31:F31"/>
  </mergeCells>
  <phoneticPr fontId="1"/>
  <pageMargins left="0.70866141732283472" right="0.70866141732283472" top="0.74803149606299213" bottom="0.74803149606299213" header="0.31496062992125984" footer="0.31496062992125984"/>
  <pageSetup paperSize="9" scale="69" fitToHeight="0"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9A182-05E2-48C9-A24A-09673112276D}">
  <sheetPr>
    <pageSetUpPr fitToPage="1"/>
  </sheetPr>
  <dimension ref="B3:H9"/>
  <sheetViews>
    <sheetView showGridLines="0" zoomScaleNormal="100" zoomScaleSheetLayoutView="100" workbookViewId="0"/>
  </sheetViews>
  <sheetFormatPr defaultColWidth="2.59765625" defaultRowHeight="15" x14ac:dyDescent="0.45"/>
  <cols>
    <col min="1" max="1" width="2.59765625" style="3"/>
    <col min="2" max="2" width="5.69921875" style="3" customWidth="1"/>
    <col min="3" max="3" width="21.69921875" style="3" customWidth="1"/>
    <col min="4" max="4" width="11.09765625" style="3" customWidth="1"/>
    <col min="5" max="5" width="20.59765625" style="3" customWidth="1"/>
    <col min="6" max="6" width="32.8984375" style="3" customWidth="1"/>
    <col min="7" max="7" width="42.5" style="3" customWidth="1"/>
    <col min="8" max="8" width="35.8984375" style="3" customWidth="1"/>
    <col min="9" max="16384" width="2.59765625" style="3"/>
  </cols>
  <sheetData>
    <row r="3" spans="2:8" ht="22.8" x14ac:dyDescent="0.45">
      <c r="B3" s="70" t="s">
        <v>171</v>
      </c>
    </row>
    <row r="4" spans="2:8" ht="8.4" customHeight="1" x14ac:dyDescent="0.45"/>
    <row r="5" spans="2:8" s="35" customFormat="1" ht="12" customHeight="1" x14ac:dyDescent="0.45">
      <c r="B5" s="159" t="s">
        <v>50</v>
      </c>
      <c r="C5" s="163" t="s">
        <v>172</v>
      </c>
      <c r="D5" s="159" t="s">
        <v>173</v>
      </c>
      <c r="E5" s="159" t="s">
        <v>174</v>
      </c>
      <c r="F5" s="161" t="s">
        <v>175</v>
      </c>
      <c r="G5" s="159" t="s">
        <v>176</v>
      </c>
      <c r="H5" s="159" t="s">
        <v>40</v>
      </c>
    </row>
    <row r="6" spans="2:8" s="35" customFormat="1" ht="12" customHeight="1" x14ac:dyDescent="0.45">
      <c r="B6" s="160"/>
      <c r="C6" s="163"/>
      <c r="D6" s="160"/>
      <c r="E6" s="160"/>
      <c r="F6" s="162"/>
      <c r="G6" s="160"/>
      <c r="H6" s="160"/>
    </row>
    <row r="7" spans="2:8" s="35" customFormat="1" ht="30" x14ac:dyDescent="0.45">
      <c r="B7" s="27">
        <f>ROW()-6</f>
        <v>1</v>
      </c>
      <c r="C7" s="46" t="s">
        <v>124</v>
      </c>
      <c r="D7" s="22" t="s">
        <v>177</v>
      </c>
      <c r="E7" s="65" t="s">
        <v>178</v>
      </c>
      <c r="F7" s="65" t="s">
        <v>179</v>
      </c>
      <c r="G7" s="78" t="s">
        <v>180</v>
      </c>
      <c r="H7" s="78" t="s">
        <v>181</v>
      </c>
    </row>
    <row r="8" spans="2:8" ht="33" customHeight="1" x14ac:dyDescent="0.45">
      <c r="B8" s="27">
        <f>ROW()-6</f>
        <v>2</v>
      </c>
      <c r="C8" s="46" t="s">
        <v>144</v>
      </c>
      <c r="D8" s="22" t="s">
        <v>182</v>
      </c>
      <c r="E8" s="65" t="s">
        <v>183</v>
      </c>
      <c r="F8" s="65" t="s">
        <v>26</v>
      </c>
      <c r="G8" s="78" t="s">
        <v>184</v>
      </c>
      <c r="H8" s="46"/>
    </row>
    <row r="9" spans="2:8" ht="45" x14ac:dyDescent="0.45">
      <c r="B9" s="27">
        <f t="shared" ref="B9" si="0">ROW()-6</f>
        <v>3</v>
      </c>
      <c r="C9" s="46" t="s">
        <v>144</v>
      </c>
      <c r="D9" s="22" t="s">
        <v>177</v>
      </c>
      <c r="E9" s="65" t="s">
        <v>185</v>
      </c>
      <c r="F9" s="78" t="s">
        <v>186</v>
      </c>
      <c r="G9" s="79" t="s">
        <v>187</v>
      </c>
      <c r="H9" s="78" t="s">
        <v>188</v>
      </c>
    </row>
  </sheetData>
  <mergeCells count="7">
    <mergeCell ref="G5:G6"/>
    <mergeCell ref="H5:H6"/>
    <mergeCell ref="B5:B6"/>
    <mergeCell ref="D5:D6"/>
    <mergeCell ref="E5:E6"/>
    <mergeCell ref="F5:F6"/>
    <mergeCell ref="C5:C6"/>
  </mergeCells>
  <phoneticPr fontId="1"/>
  <conditionalFormatting sqref="B5:H5">
    <cfRule type="expression" dxfId="0" priority="1">
      <formula>OR(#REF!="O",#REF!="-")</formula>
    </cfRule>
  </conditionalFormatting>
  <pageMargins left="0.70866141732283472" right="0.70866141732283472" top="0.74803149606299213" bottom="0.74803149606299213" header="0.31496062992125984" footer="0.31496062992125984"/>
  <pageSetup paperSize="9" scale="68" fitToHeight="0" orientation="landscape" r:id="rId1"/>
  <drawing r:id="rId2"/>
  <legacyDrawing r:id="rId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1C04705E-5076-46E4-95EB-2A3C54D70E16}">
          <x14:formula1>
            <xm:f>'(非表示)リスト'!$G$2:$G$3</xm:f>
          </x14:formula1>
          <xm:sqref>D7:D9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1E193-B16B-4280-8C11-A4EEA16AEAE5}">
  <sheetPr>
    <tabColor theme="0" tint="-0.14999847407452621"/>
    <pageSetUpPr fitToPage="1"/>
  </sheetPr>
  <dimension ref="A2:BE32"/>
  <sheetViews>
    <sheetView showGridLines="0" zoomScaleNormal="100" zoomScaleSheetLayoutView="100" workbookViewId="0"/>
  </sheetViews>
  <sheetFormatPr defaultColWidth="2.59765625" defaultRowHeight="15" x14ac:dyDescent="0.45"/>
  <cols>
    <col min="1" max="3" width="2.59765625" style="3"/>
    <col min="4" max="4" width="2.59765625" style="3" customWidth="1"/>
    <col min="5" max="25" width="2.59765625" style="3"/>
    <col min="26" max="26" width="2.8984375" style="3" bestFit="1" customWidth="1"/>
    <col min="27" max="16384" width="2.59765625" style="3"/>
  </cols>
  <sheetData>
    <row r="2" spans="1:57" ht="15.6" thickBot="1" x14ac:dyDescent="0.5">
      <c r="B2" s="3" t="s">
        <v>189</v>
      </c>
    </row>
    <row r="3" spans="1:57" s="15" customFormat="1" ht="14.25" customHeight="1" x14ac:dyDescent="0.45">
      <c r="A3" s="3"/>
      <c r="B3" s="164" t="s">
        <v>190</v>
      </c>
      <c r="C3" s="165"/>
      <c r="D3" s="165"/>
      <c r="E3" s="165"/>
      <c r="F3" s="165"/>
      <c r="G3" s="165"/>
      <c r="H3" s="165"/>
      <c r="I3" s="165"/>
      <c r="J3" s="165"/>
      <c r="K3" s="47"/>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4"/>
      <c r="BB3" s="3"/>
      <c r="BC3" s="3"/>
      <c r="BD3" s="3"/>
      <c r="BE3" s="3"/>
    </row>
    <row r="4" spans="1:57" s="15" customFormat="1" ht="36.75" customHeight="1" x14ac:dyDescent="0.45">
      <c r="A4" s="3"/>
      <c r="B4" s="166"/>
      <c r="C4" s="167"/>
      <c r="D4" s="167"/>
      <c r="E4" s="167"/>
      <c r="F4" s="167"/>
      <c r="G4" s="167"/>
      <c r="H4" s="167"/>
      <c r="I4" s="167"/>
      <c r="J4" s="167"/>
      <c r="K4" s="41"/>
      <c r="L4" s="38"/>
      <c r="M4" s="39" t="s">
        <v>191</v>
      </c>
      <c r="N4" s="39"/>
      <c r="O4" s="39"/>
      <c r="P4" s="39"/>
      <c r="Q4" s="39"/>
      <c r="R4" s="39"/>
      <c r="S4" s="39"/>
      <c r="T4" s="39"/>
      <c r="U4" s="39"/>
      <c r="V4" s="39"/>
      <c r="W4" s="39"/>
      <c r="X4" s="39"/>
      <c r="Y4" s="39"/>
      <c r="Z4" s="39"/>
      <c r="AA4" s="39"/>
      <c r="AB4" s="39"/>
      <c r="AC4" s="39"/>
      <c r="BA4" s="16"/>
      <c r="BB4" s="3"/>
      <c r="BC4" s="3"/>
      <c r="BD4" s="3"/>
      <c r="BE4" s="3"/>
    </row>
    <row r="5" spans="1:57" s="15" customFormat="1" ht="5.25" customHeight="1" thickBot="1" x14ac:dyDescent="0.5">
      <c r="A5" s="3"/>
      <c r="B5" s="166"/>
      <c r="C5" s="167"/>
      <c r="D5" s="167"/>
      <c r="E5" s="167"/>
      <c r="F5" s="167"/>
      <c r="G5" s="167"/>
      <c r="H5" s="167"/>
      <c r="I5" s="167"/>
      <c r="J5" s="167"/>
      <c r="K5" s="41"/>
      <c r="L5" s="40"/>
      <c r="M5" s="41"/>
      <c r="N5" s="41"/>
      <c r="O5" s="41"/>
      <c r="P5" s="41"/>
      <c r="Q5" s="41"/>
      <c r="R5" s="41"/>
      <c r="S5" s="41"/>
      <c r="T5" s="41"/>
      <c r="U5" s="41"/>
      <c r="V5" s="41"/>
      <c r="W5" s="41"/>
      <c r="X5" s="41"/>
      <c r="Y5" s="41"/>
      <c r="Z5" s="41"/>
      <c r="AA5" s="41"/>
      <c r="AB5" s="41"/>
      <c r="AC5" s="41"/>
      <c r="AD5" s="42"/>
      <c r="AE5" s="42"/>
      <c r="AF5" s="42"/>
      <c r="AG5" s="42"/>
      <c r="AH5" s="42"/>
      <c r="AI5" s="42"/>
      <c r="AJ5" s="42"/>
      <c r="AK5" s="42"/>
      <c r="AL5" s="42"/>
      <c r="AM5" s="42"/>
      <c r="AN5" s="42"/>
      <c r="AO5" s="42"/>
      <c r="AP5" s="42"/>
      <c r="AQ5" s="42"/>
      <c r="AR5" s="42"/>
      <c r="AS5" s="42"/>
      <c r="AT5" s="42"/>
      <c r="AU5" s="42"/>
      <c r="AV5" s="42"/>
      <c r="AW5" s="42"/>
      <c r="AX5" s="42"/>
      <c r="AY5" s="42"/>
      <c r="AZ5" s="42"/>
      <c r="BA5" s="16"/>
      <c r="BB5" s="3"/>
      <c r="BC5" s="3"/>
      <c r="BD5" s="3"/>
      <c r="BE5" s="3"/>
    </row>
    <row r="6" spans="1:57" s="15" customFormat="1" ht="36" customHeight="1" thickBot="1" x14ac:dyDescent="0.5">
      <c r="A6" s="3"/>
      <c r="B6" s="48"/>
      <c r="C6" s="49" t="s">
        <v>192</v>
      </c>
      <c r="D6" s="50"/>
      <c r="E6" s="50"/>
      <c r="F6" s="50"/>
      <c r="G6" s="50"/>
      <c r="H6" s="50"/>
      <c r="I6" s="50"/>
      <c r="J6" s="50"/>
      <c r="K6" s="41"/>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s="16"/>
      <c r="BB6" s="3"/>
      <c r="BC6" s="3"/>
      <c r="BD6" s="3"/>
      <c r="BE6" s="3"/>
    </row>
    <row r="7" spans="1:57" s="17" customFormat="1" ht="36" customHeight="1" thickBot="1" x14ac:dyDescent="0.5">
      <c r="A7" s="3"/>
      <c r="B7" s="48"/>
      <c r="C7" s="49" t="s">
        <v>270</v>
      </c>
      <c r="D7" s="50"/>
      <c r="E7" s="50"/>
      <c r="F7" s="50"/>
      <c r="G7" s="50"/>
      <c r="H7" s="50"/>
      <c r="I7" s="50"/>
      <c r="J7" s="50"/>
      <c r="K7" s="41"/>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s="16"/>
      <c r="BB7" s="18"/>
      <c r="BC7" s="18"/>
      <c r="BD7" s="18"/>
      <c r="BE7" s="18"/>
    </row>
    <row r="8" spans="1:57" s="15" customFormat="1" ht="36.75" customHeight="1" thickBot="1" x14ac:dyDescent="0.5">
      <c r="A8" s="3"/>
      <c r="B8" s="48"/>
      <c r="C8" s="49" t="s">
        <v>193</v>
      </c>
      <c r="D8" s="50"/>
      <c r="E8" s="50"/>
      <c r="F8" s="50"/>
      <c r="G8" s="50"/>
      <c r="H8" s="50"/>
      <c r="I8" s="50"/>
      <c r="J8" s="50"/>
      <c r="K8" s="41"/>
      <c r="L8"/>
      <c r="M8" s="51" t="s">
        <v>194</v>
      </c>
      <c r="N8" s="51"/>
      <c r="O8" s="51"/>
      <c r="P8" s="51"/>
      <c r="Q8" s="51"/>
      <c r="R8" s="51"/>
      <c r="S8" s="51"/>
      <c r="T8" s="51"/>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c r="BA8" s="16"/>
      <c r="BB8" s="3"/>
      <c r="BC8" s="3"/>
      <c r="BD8" s="3"/>
      <c r="BE8" s="3"/>
    </row>
    <row r="9" spans="1:57" s="15" customFormat="1" ht="36.75" customHeight="1" thickBot="1" x14ac:dyDescent="0.5">
      <c r="A9" s="3"/>
      <c r="B9" s="48"/>
      <c r="C9" s="49" t="s">
        <v>195</v>
      </c>
      <c r="D9" s="50"/>
      <c r="E9" s="50"/>
      <c r="F9" s="50"/>
      <c r="G9" s="50"/>
      <c r="H9" s="50"/>
      <c r="I9" s="50"/>
      <c r="J9" s="50"/>
      <c r="K9" s="41"/>
      <c r="L9"/>
      <c r="M9" s="51" t="s">
        <v>196</v>
      </c>
      <c r="N9" s="51"/>
      <c r="O9" s="51"/>
      <c r="P9" s="51"/>
      <c r="Q9" s="51"/>
      <c r="R9" s="51"/>
      <c r="S9" s="51"/>
      <c r="T9" s="51"/>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c r="BA9" s="16"/>
      <c r="BB9" s="3"/>
      <c r="BC9" s="3"/>
      <c r="BD9" s="3"/>
      <c r="BE9" s="3"/>
    </row>
    <row r="10" spans="1:57" s="15" customFormat="1" ht="36.75" customHeight="1" x14ac:dyDescent="0.45">
      <c r="A10" s="3"/>
      <c r="B10" s="53"/>
      <c r="C10" s="54"/>
      <c r="D10" s="54"/>
      <c r="E10" s="54"/>
      <c r="F10" s="54"/>
      <c r="G10" s="54"/>
      <c r="H10" s="54"/>
      <c r="I10" s="54"/>
      <c r="J10" s="54"/>
      <c r="K10" s="41"/>
      <c r="L10"/>
      <c r="M10" s="51" t="s">
        <v>197</v>
      </c>
      <c r="N10" s="51"/>
      <c r="O10" s="51"/>
      <c r="P10" s="51"/>
      <c r="Q10" s="51"/>
      <c r="R10" s="51"/>
      <c r="S10" s="51"/>
      <c r="T10" s="51"/>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c r="BA10" s="16"/>
      <c r="BB10" s="3"/>
      <c r="BC10" s="3"/>
      <c r="BD10" s="3"/>
      <c r="BE10" s="3"/>
    </row>
    <row r="11" spans="1:57" s="15" customFormat="1" ht="36.75" customHeight="1" x14ac:dyDescent="0.45">
      <c r="A11" s="3"/>
      <c r="B11" s="53"/>
      <c r="C11" s="54"/>
      <c r="D11" s="54"/>
      <c r="E11" s="54"/>
      <c r="F11" s="54"/>
      <c r="G11" s="54"/>
      <c r="H11" s="54"/>
      <c r="I11" s="54"/>
      <c r="J11" s="54"/>
      <c r="K11" s="4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s="16"/>
      <c r="BB11" s="3"/>
      <c r="BC11" s="3"/>
      <c r="BD11" s="3"/>
      <c r="BE11" s="3"/>
    </row>
    <row r="12" spans="1:57" s="15" customFormat="1" ht="36.75" customHeight="1" x14ac:dyDescent="0.45">
      <c r="A12" s="3"/>
      <c r="B12" s="53"/>
      <c r="C12" s="54"/>
      <c r="D12" s="54"/>
      <c r="E12" s="54"/>
      <c r="F12" s="54"/>
      <c r="G12" s="54"/>
      <c r="H12" s="54"/>
      <c r="I12" s="54"/>
      <c r="J12" s="54"/>
      <c r="K12" s="41"/>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s="16"/>
      <c r="BB12" s="3"/>
      <c r="BC12" s="3"/>
      <c r="BD12" s="3"/>
      <c r="BE12" s="3"/>
    </row>
    <row r="13" spans="1:57" s="15" customFormat="1" ht="36.75" customHeight="1" x14ac:dyDescent="0.45">
      <c r="A13" s="3"/>
      <c r="B13" s="53"/>
      <c r="C13" s="54"/>
      <c r="D13" s="54"/>
      <c r="E13" s="54"/>
      <c r="F13" s="54"/>
      <c r="G13" s="54"/>
      <c r="H13" s="54"/>
      <c r="I13" s="54"/>
      <c r="J13" s="54"/>
      <c r="K13" s="41"/>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s="16"/>
    </row>
    <row r="14" spans="1:57" s="15" customFormat="1" ht="29.25" customHeight="1" x14ac:dyDescent="0.3">
      <c r="A14" s="3"/>
      <c r="B14" s="168" t="s">
        <v>198</v>
      </c>
      <c r="C14" s="169"/>
      <c r="D14" s="169"/>
      <c r="E14" s="169"/>
      <c r="F14" s="169"/>
      <c r="G14" s="169"/>
      <c r="H14" s="169"/>
      <c r="I14" s="169"/>
      <c r="J14" s="169"/>
      <c r="K14" s="41"/>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s="16"/>
    </row>
    <row r="15" spans="1:57" s="15" customFormat="1" ht="36.75" customHeight="1" x14ac:dyDescent="0.45">
      <c r="A15" s="3"/>
      <c r="B15" s="55"/>
      <c r="C15" s="56"/>
      <c r="D15" s="56"/>
      <c r="E15" s="56"/>
      <c r="F15" s="56"/>
      <c r="G15" s="56"/>
      <c r="H15" s="56"/>
      <c r="I15" s="56"/>
      <c r="J15" s="54"/>
      <c r="K15" s="41"/>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s="16"/>
    </row>
    <row r="16" spans="1:57" s="15" customFormat="1" ht="15.6" thickBot="1" x14ac:dyDescent="0.5">
      <c r="A16" s="3"/>
      <c r="B16" s="57"/>
      <c r="C16" s="58"/>
      <c r="D16" s="58"/>
      <c r="E16" s="58"/>
      <c r="F16" s="58"/>
      <c r="G16" s="58"/>
      <c r="H16" s="58"/>
      <c r="I16" s="58"/>
      <c r="J16" s="59"/>
      <c r="K16" s="20"/>
      <c r="L16" s="19"/>
      <c r="M16" s="20"/>
      <c r="N16" s="20"/>
      <c r="O16" s="20"/>
      <c r="P16" s="20"/>
      <c r="Q16" s="20"/>
      <c r="R16" s="20"/>
      <c r="S16" s="19"/>
      <c r="T16" s="19"/>
      <c r="U16" s="19"/>
      <c r="V16" s="19"/>
      <c r="W16" s="19"/>
      <c r="X16" s="19"/>
      <c r="Y16" s="19"/>
      <c r="Z16" s="19"/>
      <c r="AA16" s="19"/>
      <c r="AB16" s="19"/>
      <c r="AC16" s="19"/>
      <c r="AD16" s="19"/>
      <c r="AE16" s="19"/>
      <c r="AF16" s="20"/>
      <c r="AG16" s="20"/>
      <c r="AH16" s="20"/>
      <c r="AI16" s="20"/>
      <c r="AJ16" s="20"/>
      <c r="AK16" s="20"/>
      <c r="AL16" s="19"/>
      <c r="AM16" s="19"/>
      <c r="AN16" s="19"/>
      <c r="AO16" s="19"/>
      <c r="AP16" s="19"/>
      <c r="AQ16" s="19"/>
      <c r="AR16" s="19"/>
      <c r="AS16" s="19"/>
      <c r="AT16" s="19"/>
      <c r="AU16" s="19"/>
      <c r="AV16" s="19"/>
      <c r="AW16" s="19"/>
      <c r="AX16" s="19"/>
      <c r="AY16" s="19"/>
      <c r="AZ16" s="19"/>
      <c r="BA16" s="21"/>
    </row>
    <row r="17" spans="1:57" x14ac:dyDescent="0.45">
      <c r="A17" s="15"/>
      <c r="B17" s="15"/>
      <c r="C17" s="15"/>
      <c r="D17" s="15"/>
      <c r="E17" s="15"/>
      <c r="F17" s="15"/>
      <c r="G17" s="15"/>
      <c r="H17" s="15"/>
      <c r="I17" s="15"/>
      <c r="J17" s="15"/>
      <c r="K17" s="15"/>
      <c r="L17" s="15"/>
    </row>
    <row r="18" spans="1:57" ht="15.6" thickBot="1" x14ac:dyDescent="0.5">
      <c r="A18" s="15"/>
      <c r="B18" s="15" t="s">
        <v>199</v>
      </c>
      <c r="C18" s="15"/>
      <c r="D18" s="15"/>
      <c r="E18" s="15"/>
      <c r="F18" s="15"/>
      <c r="G18" s="15"/>
      <c r="H18" s="15"/>
      <c r="I18" s="15"/>
      <c r="J18" s="15"/>
      <c r="K18" s="15"/>
      <c r="L18" s="15"/>
    </row>
    <row r="19" spans="1:57" s="15" customFormat="1" ht="14.25" customHeight="1" x14ac:dyDescent="0.45">
      <c r="A19" s="3"/>
      <c r="B19" s="164" t="s">
        <v>190</v>
      </c>
      <c r="C19" s="165"/>
      <c r="D19" s="165"/>
      <c r="E19" s="165"/>
      <c r="F19" s="165"/>
      <c r="G19" s="165"/>
      <c r="H19" s="165"/>
      <c r="I19" s="165"/>
      <c r="J19" s="165"/>
      <c r="K19" s="47"/>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4"/>
      <c r="BB19" s="3"/>
      <c r="BC19" s="3"/>
      <c r="BD19" s="3"/>
      <c r="BE19" s="3"/>
    </row>
    <row r="20" spans="1:57" s="15" customFormat="1" ht="36.75" customHeight="1" x14ac:dyDescent="0.45">
      <c r="A20" s="3"/>
      <c r="B20" s="166"/>
      <c r="C20" s="167"/>
      <c r="D20" s="167"/>
      <c r="E20" s="167"/>
      <c r="F20" s="167"/>
      <c r="G20" s="167"/>
      <c r="H20" s="167"/>
      <c r="I20" s="167"/>
      <c r="J20" s="167"/>
      <c r="K20" s="41"/>
      <c r="L20" s="38"/>
      <c r="M20" s="39" t="s">
        <v>191</v>
      </c>
      <c r="N20" s="39"/>
      <c r="O20" s="39"/>
      <c r="P20" s="39"/>
      <c r="Q20" s="39"/>
      <c r="R20" s="39"/>
      <c r="S20" s="39"/>
      <c r="T20" s="39"/>
      <c r="U20" s="39"/>
      <c r="V20" s="39"/>
      <c r="W20" s="39"/>
      <c r="X20" s="39"/>
      <c r="Y20" s="39"/>
      <c r="Z20" s="39"/>
      <c r="AA20" s="39"/>
      <c r="AB20" s="39"/>
      <c r="AC20" s="39"/>
      <c r="BA20" s="16"/>
      <c r="BB20" s="3"/>
      <c r="BC20" s="3"/>
      <c r="BD20" s="3"/>
      <c r="BE20" s="3"/>
    </row>
    <row r="21" spans="1:57" s="15" customFormat="1" ht="5.25" customHeight="1" thickBot="1" x14ac:dyDescent="0.5">
      <c r="A21" s="3"/>
      <c r="B21" s="166"/>
      <c r="C21" s="167"/>
      <c r="D21" s="167"/>
      <c r="E21" s="167"/>
      <c r="F21" s="167"/>
      <c r="G21" s="167"/>
      <c r="H21" s="167"/>
      <c r="I21" s="167"/>
      <c r="J21" s="167"/>
      <c r="K21" s="41"/>
      <c r="L21" s="40"/>
      <c r="M21" s="41"/>
      <c r="N21" s="41"/>
      <c r="O21" s="41"/>
      <c r="P21" s="41"/>
      <c r="Q21" s="41"/>
      <c r="R21" s="41"/>
      <c r="S21" s="41"/>
      <c r="T21" s="41"/>
      <c r="U21" s="41"/>
      <c r="V21" s="41"/>
      <c r="W21" s="41"/>
      <c r="X21" s="41"/>
      <c r="Y21" s="41"/>
      <c r="Z21" s="41"/>
      <c r="AA21" s="41"/>
      <c r="AB21" s="41"/>
      <c r="AC21" s="41"/>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16"/>
      <c r="BB21" s="3"/>
      <c r="BC21" s="3"/>
      <c r="BD21" s="3"/>
      <c r="BE21" s="3"/>
    </row>
    <row r="22" spans="1:57" s="15" customFormat="1" ht="36" customHeight="1" thickBot="1" x14ac:dyDescent="0.5">
      <c r="A22" s="3"/>
      <c r="B22" s="48"/>
      <c r="C22" s="49" t="s">
        <v>192</v>
      </c>
      <c r="D22" s="50"/>
      <c r="E22" s="50"/>
      <c r="F22" s="50"/>
      <c r="G22" s="50"/>
      <c r="H22" s="50"/>
      <c r="I22" s="50"/>
      <c r="J22" s="50"/>
      <c r="K22" s="41"/>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s="16"/>
      <c r="BB22" s="3"/>
      <c r="BC22" s="3"/>
      <c r="BD22" s="3"/>
      <c r="BE22" s="3"/>
    </row>
    <row r="23" spans="1:57" s="17" customFormat="1" ht="36" customHeight="1" thickBot="1" x14ac:dyDescent="0.5">
      <c r="A23" s="3"/>
      <c r="B23" s="48"/>
      <c r="C23" s="49" t="s">
        <v>270</v>
      </c>
      <c r="D23" s="50"/>
      <c r="E23" s="50"/>
      <c r="F23" s="50"/>
      <c r="G23" s="50"/>
      <c r="H23" s="50"/>
      <c r="I23" s="50"/>
      <c r="J23" s="50"/>
      <c r="K23" s="41"/>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s="16"/>
      <c r="BB23" s="18"/>
      <c r="BC23" s="18"/>
      <c r="BD23" s="18"/>
      <c r="BE23" s="18"/>
    </row>
    <row r="24" spans="1:57" s="15" customFormat="1" ht="36.75" customHeight="1" thickBot="1" x14ac:dyDescent="0.5">
      <c r="A24" s="3"/>
      <c r="B24" s="48"/>
      <c r="C24" s="49" t="s">
        <v>193</v>
      </c>
      <c r="D24" s="50"/>
      <c r="E24" s="50"/>
      <c r="F24" s="50"/>
      <c r="G24" s="50"/>
      <c r="H24" s="50"/>
      <c r="I24" s="50"/>
      <c r="J24" s="50"/>
      <c r="K24" s="41"/>
      <c r="L24"/>
      <c r="M24" s="51" t="s">
        <v>194</v>
      </c>
      <c r="N24" s="51"/>
      <c r="O24" s="51"/>
      <c r="P24" s="51"/>
      <c r="Q24" s="51"/>
      <c r="R24" s="51"/>
      <c r="S24" s="51"/>
      <c r="T24" s="51"/>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c r="BA24" s="16"/>
      <c r="BB24" s="3"/>
      <c r="BC24" s="3"/>
      <c r="BD24" s="3"/>
      <c r="BE24" s="3"/>
    </row>
    <row r="25" spans="1:57" s="15" customFormat="1" ht="36.75" customHeight="1" thickBot="1" x14ac:dyDescent="0.5">
      <c r="A25" s="3"/>
      <c r="B25" s="48"/>
      <c r="C25" s="49" t="s">
        <v>195</v>
      </c>
      <c r="D25" s="50"/>
      <c r="E25" s="50"/>
      <c r="F25" s="50"/>
      <c r="G25" s="50"/>
      <c r="H25" s="50"/>
      <c r="I25" s="50"/>
      <c r="J25" s="50"/>
      <c r="K25" s="41"/>
      <c r="L25"/>
      <c r="M25" s="51" t="s">
        <v>196</v>
      </c>
      <c r="N25" s="51"/>
      <c r="O25" s="51"/>
      <c r="P25" s="51"/>
      <c r="Q25" s="51"/>
      <c r="R25" s="51"/>
      <c r="S25" s="51"/>
      <c r="T25" s="51"/>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c r="BA25" s="16"/>
      <c r="BB25" s="3"/>
      <c r="BC25" s="3"/>
      <c r="BD25" s="3"/>
      <c r="BE25" s="3"/>
    </row>
    <row r="26" spans="1:57" s="15" customFormat="1" ht="36.75" customHeight="1" x14ac:dyDescent="0.45">
      <c r="A26" s="3"/>
      <c r="B26" s="53"/>
      <c r="C26" s="54"/>
      <c r="D26" s="54"/>
      <c r="E26" s="54"/>
      <c r="F26" s="54"/>
      <c r="G26" s="54"/>
      <c r="H26" s="54"/>
      <c r="I26" s="54"/>
      <c r="J26" s="54"/>
      <c r="K26" s="41"/>
      <c r="L26"/>
      <c r="M26" s="51" t="s">
        <v>197</v>
      </c>
      <c r="N26" s="51"/>
      <c r="O26" s="51"/>
      <c r="P26" s="51"/>
      <c r="Q26" s="51"/>
      <c r="R26" s="51"/>
      <c r="S26" s="51"/>
      <c r="T26" s="51"/>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c r="BA26" s="16"/>
      <c r="BB26" s="3"/>
      <c r="BC26" s="3"/>
      <c r="BD26" s="3"/>
      <c r="BE26" s="3"/>
    </row>
    <row r="27" spans="1:57" s="15" customFormat="1" ht="36.75" customHeight="1" x14ac:dyDescent="0.45">
      <c r="A27" s="3"/>
      <c r="B27" s="53"/>
      <c r="C27" s="54"/>
      <c r="D27" s="54"/>
      <c r="E27" s="54"/>
      <c r="F27" s="54"/>
      <c r="G27" s="54"/>
      <c r="H27" s="54"/>
      <c r="I27" s="54"/>
      <c r="J27" s="54"/>
      <c r="K27" s="41"/>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s="16"/>
      <c r="BB27" s="3"/>
      <c r="BC27" s="3"/>
      <c r="BD27" s="3"/>
      <c r="BE27" s="3"/>
    </row>
    <row r="28" spans="1:57" s="15" customFormat="1" ht="36.75" customHeight="1" x14ac:dyDescent="0.45">
      <c r="A28" s="3"/>
      <c r="B28" s="53"/>
      <c r="C28" s="54"/>
      <c r="D28" s="54"/>
      <c r="E28" s="54"/>
      <c r="F28" s="54"/>
      <c r="G28" s="54"/>
      <c r="H28" s="54"/>
      <c r="I28" s="54"/>
      <c r="J28" s="54"/>
      <c r="K28" s="41"/>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s="16"/>
      <c r="BB28" s="3"/>
      <c r="BC28" s="3"/>
      <c r="BD28" s="3"/>
      <c r="BE28" s="3"/>
    </row>
    <row r="29" spans="1:57" s="15" customFormat="1" ht="36.75" customHeight="1" x14ac:dyDescent="0.45">
      <c r="A29" s="3"/>
      <c r="B29" s="53"/>
      <c r="C29" s="54"/>
      <c r="D29" s="54"/>
      <c r="E29" s="54"/>
      <c r="F29" s="54"/>
      <c r="G29" s="54"/>
      <c r="H29" s="54"/>
      <c r="I29" s="54"/>
      <c r="J29" s="54"/>
      <c r="K29" s="41"/>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s="16"/>
    </row>
    <row r="30" spans="1:57" s="15" customFormat="1" ht="29.25" customHeight="1" x14ac:dyDescent="0.3">
      <c r="A30" s="3"/>
      <c r="B30" s="168" t="s">
        <v>198</v>
      </c>
      <c r="C30" s="169"/>
      <c r="D30" s="169"/>
      <c r="E30" s="169"/>
      <c r="F30" s="169"/>
      <c r="G30" s="169"/>
      <c r="H30" s="169"/>
      <c r="I30" s="169"/>
      <c r="J30" s="169"/>
      <c r="K30" s="41"/>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s="16"/>
    </row>
    <row r="31" spans="1:57" s="15" customFormat="1" ht="36.75" customHeight="1" x14ac:dyDescent="0.45">
      <c r="A31" s="3"/>
      <c r="B31" s="55"/>
      <c r="C31" s="56"/>
      <c r="D31" s="56"/>
      <c r="E31" s="56"/>
      <c r="F31" s="56"/>
      <c r="G31" s="56"/>
      <c r="H31" s="56"/>
      <c r="I31" s="56"/>
      <c r="J31" s="54"/>
      <c r="K31" s="4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s="16"/>
    </row>
    <row r="32" spans="1:57" s="15" customFormat="1" ht="15.6" thickBot="1" x14ac:dyDescent="0.5">
      <c r="A32" s="3"/>
      <c r="B32" s="57"/>
      <c r="C32" s="58"/>
      <c r="D32" s="58"/>
      <c r="E32" s="58"/>
      <c r="F32" s="58"/>
      <c r="G32" s="58"/>
      <c r="H32" s="58"/>
      <c r="I32" s="58"/>
      <c r="J32" s="59"/>
      <c r="K32" s="20"/>
      <c r="L32" s="19"/>
      <c r="M32" s="20"/>
      <c r="N32" s="20"/>
      <c r="O32" s="20"/>
      <c r="P32" s="20"/>
      <c r="Q32" s="20"/>
      <c r="R32" s="20"/>
      <c r="S32" s="19"/>
      <c r="T32" s="19"/>
      <c r="U32" s="19"/>
      <c r="V32" s="19"/>
      <c r="W32" s="19"/>
      <c r="X32" s="19"/>
      <c r="Y32" s="19"/>
      <c r="Z32" s="19"/>
      <c r="AA32" s="19"/>
      <c r="AB32" s="19"/>
      <c r="AC32" s="19"/>
      <c r="AD32" s="19"/>
      <c r="AE32" s="19"/>
      <c r="AF32" s="20"/>
      <c r="AG32" s="20"/>
      <c r="AH32" s="20"/>
      <c r="AI32" s="20"/>
      <c r="AJ32" s="20"/>
      <c r="AK32" s="20"/>
      <c r="AL32" s="19"/>
      <c r="AM32" s="19"/>
      <c r="AN32" s="19"/>
      <c r="AO32" s="19"/>
      <c r="AP32" s="19"/>
      <c r="AQ32" s="19"/>
      <c r="AR32" s="19"/>
      <c r="AS32" s="19"/>
      <c r="AT32" s="19"/>
      <c r="AU32" s="19"/>
      <c r="AV32" s="19"/>
      <c r="AW32" s="19"/>
      <c r="AX32" s="19"/>
      <c r="AY32" s="19"/>
      <c r="AZ32" s="19"/>
      <c r="BA32" s="21"/>
    </row>
  </sheetData>
  <mergeCells count="4">
    <mergeCell ref="B3:J5"/>
    <mergeCell ref="B14:J14"/>
    <mergeCell ref="B19:J21"/>
    <mergeCell ref="B30:J30"/>
  </mergeCells>
  <phoneticPr fontId="1"/>
  <pageMargins left="0.7" right="0.7" top="0.75" bottom="0.75" header="0.3" footer="0.3"/>
  <pageSetup paperSize="9" scale="72"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CAD95-8B29-4172-81DF-0F0661D0E4BF}">
  <sheetPr>
    <tabColor theme="0" tint="-0.14999847407452621"/>
    <pageSetUpPr fitToPage="1"/>
  </sheetPr>
  <dimension ref="A1:BG27"/>
  <sheetViews>
    <sheetView showGridLines="0" zoomScaleNormal="100" zoomScaleSheetLayoutView="100" workbookViewId="0"/>
  </sheetViews>
  <sheetFormatPr defaultColWidth="2.59765625" defaultRowHeight="15" x14ac:dyDescent="0.45"/>
  <cols>
    <col min="1" max="33" width="2.59765625" style="3"/>
    <col min="34" max="34" width="2.8984375" style="3" bestFit="1" customWidth="1"/>
    <col min="35" max="16384" width="2.59765625" style="3"/>
  </cols>
  <sheetData>
    <row r="1" spans="1:59" x14ac:dyDescent="0.45">
      <c r="A1" s="23" t="s">
        <v>200</v>
      </c>
    </row>
    <row r="3" spans="1:59" x14ac:dyDescent="0.45">
      <c r="A3" s="24"/>
      <c r="B3" s="24"/>
      <c r="C3" s="24" t="s">
        <v>201</v>
      </c>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1"/>
    </row>
    <row r="4" spans="1:59" x14ac:dyDescent="0.45">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1"/>
    </row>
    <row r="5" spans="1:59" x14ac:dyDescent="0.45">
      <c r="A5" s="24"/>
      <c r="B5" s="24"/>
      <c r="C5" s="24" t="s">
        <v>202</v>
      </c>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1"/>
    </row>
    <row r="6" spans="1:59" x14ac:dyDescent="0.45">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1"/>
    </row>
    <row r="7" spans="1:59" x14ac:dyDescent="0.45">
      <c r="A7" s="24"/>
      <c r="B7" s="24"/>
      <c r="C7" s="24" t="s">
        <v>203</v>
      </c>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1"/>
    </row>
    <row r="8" spans="1:59" x14ac:dyDescent="0.45">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1"/>
    </row>
    <row r="9" spans="1:59" x14ac:dyDescent="0.45">
      <c r="A9" s="24"/>
      <c r="B9" s="24"/>
      <c r="C9" s="24" t="s">
        <v>204</v>
      </c>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5"/>
    </row>
    <row r="10" spans="1:59" x14ac:dyDescent="0.4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1"/>
    </row>
    <row r="11" spans="1:59" x14ac:dyDescent="0.45">
      <c r="A11" s="24"/>
      <c r="B11" s="24"/>
      <c r="C11" s="24" t="s">
        <v>79</v>
      </c>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1"/>
    </row>
    <row r="12" spans="1:59" x14ac:dyDescent="0.45">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1"/>
    </row>
    <row r="13" spans="1:59" x14ac:dyDescent="0.45">
      <c r="A13" s="24"/>
      <c r="B13" s="24"/>
      <c r="C13" s="24" t="s">
        <v>205</v>
      </c>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1"/>
    </row>
    <row r="14" spans="1:59" x14ac:dyDescent="0.45">
      <c r="A14" s="24"/>
      <c r="B14" s="24"/>
      <c r="C14" s="24" t="s">
        <v>206</v>
      </c>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1"/>
    </row>
    <row r="15" spans="1:59" x14ac:dyDescent="0.4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1"/>
    </row>
    <row r="16" spans="1:59" x14ac:dyDescent="0.45">
      <c r="A16" s="24"/>
      <c r="B16" s="24"/>
      <c r="C16" s="24" t="s">
        <v>207</v>
      </c>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1"/>
    </row>
    <row r="17" spans="1:59" x14ac:dyDescent="0.45">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1"/>
    </row>
    <row r="18" spans="1:59" x14ac:dyDescent="0.45">
      <c r="A18" s="24"/>
      <c r="B18" s="24"/>
      <c r="C18" s="24" t="s">
        <v>208</v>
      </c>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1"/>
    </row>
    <row r="19" spans="1:59" x14ac:dyDescent="0.45">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1"/>
    </row>
    <row r="20" spans="1:59" x14ac:dyDescent="0.45">
      <c r="A20" s="24"/>
      <c r="B20" s="24"/>
      <c r="C20" s="24" t="s">
        <v>209</v>
      </c>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1"/>
    </row>
    <row r="21" spans="1:59" x14ac:dyDescent="0.45">
      <c r="A21" s="26"/>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1"/>
      <c r="AM21" s="1"/>
      <c r="AN21" s="1"/>
      <c r="AO21" s="1"/>
      <c r="AP21" s="1"/>
      <c r="AQ21" s="1"/>
      <c r="AR21" s="1"/>
      <c r="AS21" s="1"/>
      <c r="AT21" s="1"/>
      <c r="AU21" s="1"/>
      <c r="AV21" s="1"/>
      <c r="AW21" s="1"/>
      <c r="AX21" s="1"/>
      <c r="AY21" s="1"/>
      <c r="AZ21" s="1"/>
      <c r="BA21" s="1"/>
      <c r="BB21" s="24"/>
      <c r="BC21" s="1"/>
      <c r="BD21" s="1"/>
      <c r="BE21" s="1"/>
      <c r="BF21" s="1"/>
      <c r="BG21" s="1"/>
    </row>
    <row r="22" spans="1:59" x14ac:dyDescent="0.45">
      <c r="A22" s="26"/>
      <c r="B22" s="24"/>
      <c r="C22" s="1" t="s">
        <v>210</v>
      </c>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1"/>
      <c r="AM22" s="1"/>
      <c r="AN22" s="1"/>
      <c r="AO22" s="1"/>
      <c r="AP22" s="1"/>
      <c r="AQ22" s="1"/>
      <c r="AR22" s="1"/>
      <c r="AS22" s="1"/>
      <c r="AT22" s="1"/>
      <c r="AU22" s="1"/>
      <c r="AV22" s="1"/>
      <c r="AW22" s="1"/>
      <c r="AX22" s="1"/>
      <c r="AY22" s="1"/>
      <c r="AZ22" s="1"/>
      <c r="BA22" s="1"/>
      <c r="BB22" s="24"/>
      <c r="BC22" s="1"/>
      <c r="BD22" s="1"/>
      <c r="BE22" s="1"/>
      <c r="BF22" s="1"/>
      <c r="BG22" s="1"/>
    </row>
    <row r="23" spans="1:59" x14ac:dyDescent="0.45">
      <c r="A23" s="26"/>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row>
    <row r="24" spans="1:59" x14ac:dyDescent="0.45">
      <c r="A24" s="26"/>
      <c r="B24" s="1"/>
      <c r="C24" s="24" t="s">
        <v>211</v>
      </c>
      <c r="D24" s="24"/>
      <c r="E24" s="24"/>
      <c r="F24" s="24"/>
      <c r="G24" s="24"/>
      <c r="H24" s="24"/>
      <c r="I24" s="24"/>
      <c r="J24" s="24"/>
      <c r="K24" s="24"/>
      <c r="L24" s="24"/>
      <c r="M24" s="24"/>
      <c r="N24" s="24"/>
      <c r="O24" s="24"/>
      <c r="P24" s="24"/>
      <c r="Q24" s="24"/>
      <c r="R24" s="24"/>
      <c r="S24" s="24"/>
      <c r="T24" s="24"/>
      <c r="U24" s="24"/>
      <c r="V24" s="24"/>
      <c r="W24" s="24"/>
      <c r="X24" s="24"/>
      <c r="Y24" s="24"/>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row>
    <row r="25" spans="1:59" x14ac:dyDescent="0.45">
      <c r="A25" s="26"/>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row>
    <row r="26" spans="1:59" x14ac:dyDescent="0.45">
      <c r="A26" s="26"/>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row>
    <row r="27" spans="1:59" x14ac:dyDescent="0.45">
      <c r="A27" s="26"/>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row>
  </sheetData>
  <phoneticPr fontId="1"/>
  <pageMargins left="0.7" right="0.7" top="0.75" bottom="0.75" header="0.3" footer="0.3"/>
  <pageSetup paperSize="9" scale="79" fitToHeight="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0C06-E954-422B-A37B-32D269943346}">
  <sheetPr>
    <tabColor theme="0" tint="-0.14999847407452621"/>
    <pageSetUpPr fitToPage="1"/>
  </sheetPr>
  <dimension ref="A1:G10"/>
  <sheetViews>
    <sheetView zoomScaleNormal="100" zoomScaleSheetLayoutView="100" workbookViewId="0"/>
  </sheetViews>
  <sheetFormatPr defaultRowHeight="18" x14ac:dyDescent="0.45"/>
  <cols>
    <col min="1" max="1" width="27.19921875" customWidth="1"/>
    <col min="2" max="2" width="20.09765625" customWidth="1"/>
  </cols>
  <sheetData>
    <row r="1" spans="1:7" x14ac:dyDescent="0.45">
      <c r="A1" t="s">
        <v>212</v>
      </c>
      <c r="B1" t="s">
        <v>42</v>
      </c>
      <c r="C1" t="s">
        <v>213</v>
      </c>
      <c r="D1" t="s">
        <v>214</v>
      </c>
      <c r="E1" t="s">
        <v>215</v>
      </c>
      <c r="F1" t="s">
        <v>216</v>
      </c>
      <c r="G1" t="s">
        <v>217</v>
      </c>
    </row>
    <row r="2" spans="1:7" x14ac:dyDescent="0.45">
      <c r="A2" t="s">
        <v>201</v>
      </c>
      <c r="B2" t="s">
        <v>45</v>
      </c>
      <c r="C2" t="s">
        <v>45</v>
      </c>
      <c r="D2" t="s">
        <v>45</v>
      </c>
      <c r="E2" t="s">
        <v>45</v>
      </c>
      <c r="F2" t="s">
        <v>45</v>
      </c>
      <c r="G2" t="s">
        <v>182</v>
      </c>
    </row>
    <row r="3" spans="1:7" x14ac:dyDescent="0.45">
      <c r="A3" t="s">
        <v>73</v>
      </c>
      <c r="B3" t="s">
        <v>218</v>
      </c>
      <c r="C3" t="s">
        <v>63</v>
      </c>
      <c r="D3" t="s">
        <v>219</v>
      </c>
      <c r="E3" t="s">
        <v>219</v>
      </c>
      <c r="F3" t="s">
        <v>220</v>
      </c>
      <c r="G3" t="s">
        <v>221</v>
      </c>
    </row>
    <row r="4" spans="1:7" x14ac:dyDescent="0.45">
      <c r="A4" t="s">
        <v>222</v>
      </c>
      <c r="B4" t="s">
        <v>223</v>
      </c>
      <c r="C4" t="s">
        <v>224</v>
      </c>
      <c r="D4" t="s">
        <v>225</v>
      </c>
      <c r="E4" t="s">
        <v>225</v>
      </c>
      <c r="F4" t="s">
        <v>226</v>
      </c>
    </row>
    <row r="5" spans="1:7" ht="36" x14ac:dyDescent="0.45">
      <c r="A5" t="s">
        <v>227</v>
      </c>
      <c r="B5" t="s">
        <v>228</v>
      </c>
      <c r="C5" s="28" t="s">
        <v>229</v>
      </c>
      <c r="D5" t="s">
        <v>230</v>
      </c>
      <c r="E5" t="s">
        <v>230</v>
      </c>
      <c r="F5" t="s">
        <v>231</v>
      </c>
    </row>
    <row r="6" spans="1:7" x14ac:dyDescent="0.45">
      <c r="A6" t="s">
        <v>67</v>
      </c>
      <c r="B6" s="28" t="s">
        <v>232</v>
      </c>
      <c r="F6" t="s">
        <v>233</v>
      </c>
    </row>
    <row r="7" spans="1:7" x14ac:dyDescent="0.45">
      <c r="A7" t="s">
        <v>234</v>
      </c>
      <c r="B7" t="s">
        <v>235</v>
      </c>
    </row>
    <row r="8" spans="1:7" x14ac:dyDescent="0.45">
      <c r="A8" t="s">
        <v>236</v>
      </c>
      <c r="B8" s="28" t="s">
        <v>237</v>
      </c>
    </row>
    <row r="9" spans="1:7" x14ac:dyDescent="0.45">
      <c r="A9" t="s">
        <v>64</v>
      </c>
      <c r="B9" t="s">
        <v>238</v>
      </c>
    </row>
    <row r="10" spans="1:7" x14ac:dyDescent="0.45">
      <c r="A10" t="s">
        <v>239</v>
      </c>
    </row>
  </sheetData>
  <phoneticPr fontId="1"/>
  <pageMargins left="0.7" right="0.7" top="0.75" bottom="0.75" header="0.3" footer="0.3"/>
  <pageSetup paperSize="9" scale="79"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578CBB08933A54CBE90FD3400C60FB0" ma:contentTypeVersion="11" ma:contentTypeDescription="Create a new document." ma:contentTypeScope="" ma:versionID="57e8974a30420a2b27a3881739f981e4">
  <xsd:schema xmlns:xsd="http://www.w3.org/2001/XMLSchema" xmlns:xs="http://www.w3.org/2001/XMLSchema" xmlns:p="http://schemas.microsoft.com/office/2006/metadata/properties" xmlns:ns2="d6a8c154-c5c6-4680-8e40-eafe6600a89e" xmlns:ns3="172f66fa-5870-474b-a03e-bbe0445f42af" targetNamespace="http://schemas.microsoft.com/office/2006/metadata/properties" ma:root="true" ma:fieldsID="9f7ea4ddde92f0fb604e27f06db8fc36" ns2:_="" ns3:_="">
    <xsd:import namespace="d6a8c154-c5c6-4680-8e40-eafe6600a89e"/>
    <xsd:import namespace="172f66fa-5870-474b-a03e-bbe0445f42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a8c154-c5c6-4680-8e40-eafe6600a8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f51d2db-a6d6-45cf-8290-ef329cbade3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2f66fa-5870-474b-a03e-bbe0445f42a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902163c-47a2-4c70-9112-cb64ae88a36b}" ma:internalName="TaxCatchAll" ma:showField="CatchAllData" ma:web="172f66fa-5870-474b-a03e-bbe0445f42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6a8c154-c5c6-4680-8e40-eafe6600a89e">
      <Terms xmlns="http://schemas.microsoft.com/office/infopath/2007/PartnerControls"/>
    </lcf76f155ced4ddcb4097134ff3c332f>
    <TaxCatchAll xmlns="172f66fa-5870-474b-a03e-bbe0445f42af" xsi:nil="true"/>
  </documentManagement>
</p:properties>
</file>

<file path=customXml/itemProps1.xml><?xml version="1.0" encoding="utf-8"?>
<ds:datastoreItem xmlns:ds="http://schemas.openxmlformats.org/officeDocument/2006/customXml" ds:itemID="{CA9BD1FC-0C91-47D0-9FFF-94F39E9CA728}"/>
</file>

<file path=customXml/itemProps2.xml><?xml version="1.0" encoding="utf-8"?>
<ds:datastoreItem xmlns:ds="http://schemas.openxmlformats.org/officeDocument/2006/customXml" ds:itemID="{52383939-3770-453D-BCCB-18543EB60E2F}">
  <ds:schemaRefs>
    <ds:schemaRef ds:uri="http://schemas.microsoft.com/sharepoint/v3/contenttype/forms"/>
  </ds:schemaRefs>
</ds:datastoreItem>
</file>

<file path=customXml/itemProps3.xml><?xml version="1.0" encoding="utf-8"?>
<ds:datastoreItem xmlns:ds="http://schemas.openxmlformats.org/officeDocument/2006/customXml" ds:itemID="{6DDEAD09-A952-437B-877E-A0AF239CD1D1}">
  <ds:schemaRefs>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d61053c5-668d-4a74-ac70-06abe42c72b6"/>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22</vt:i4>
      </vt:variant>
    </vt:vector>
  </HeadingPairs>
  <TitlesOfParts>
    <vt:vector size="36" baseType="lpstr">
      <vt:lpstr>表紙</vt:lpstr>
      <vt:lpstr>改訂履歴</vt:lpstr>
      <vt:lpstr>機能概要</vt:lpstr>
      <vt:lpstr>機能間引数定義</vt:lpstr>
      <vt:lpstr>レイアウト</vt:lpstr>
      <vt:lpstr>項目定義</vt:lpstr>
      <vt:lpstr>イベント定義</vt:lpstr>
      <vt:lpstr>画面遷移定義</vt:lpstr>
      <vt:lpstr>画面表示定義</vt:lpstr>
      <vt:lpstr>データアクセス定義</vt:lpstr>
      <vt:lpstr>エラーチェック一覧</vt:lpstr>
      <vt:lpstr>(非表示)画面レイアウト</vt:lpstr>
      <vt:lpstr>(非表示)レイアウト部品</vt:lpstr>
      <vt:lpstr>(非表示)リスト</vt:lpstr>
      <vt:lpstr>'(非表示)画面レイアウト'!Print_Area</vt:lpstr>
      <vt:lpstr>イベント定義!Print_Area</vt:lpstr>
      <vt:lpstr>エラーチェック一覧!Print_Area</vt:lpstr>
      <vt:lpstr>データアクセス定義!Print_Area</vt:lpstr>
      <vt:lpstr>レイアウト!Print_Area</vt:lpstr>
      <vt:lpstr>画面遷移定義!Print_Area</vt:lpstr>
      <vt:lpstr>画面表示定義!Print_Area</vt:lpstr>
      <vt:lpstr>改訂履歴!Print_Area</vt:lpstr>
      <vt:lpstr>機能概要!Print_Area</vt:lpstr>
      <vt:lpstr>機能間引数定義!Print_Area</vt:lpstr>
      <vt:lpstr>項目定義!Print_Area</vt:lpstr>
      <vt:lpstr>表紙!Print_Area</vt:lpstr>
      <vt:lpstr>イベント定義!Print_Titles</vt:lpstr>
      <vt:lpstr>エラーチェック一覧!Print_Titles</vt:lpstr>
      <vt:lpstr>データアクセス定義!Print_Titles</vt:lpstr>
      <vt:lpstr>レイアウト!Print_Titles</vt:lpstr>
      <vt:lpstr>画面遷移定義!Print_Titles</vt:lpstr>
      <vt:lpstr>画面表示定義!Print_Titles</vt:lpstr>
      <vt:lpstr>改訂履歴!Print_Titles</vt:lpstr>
      <vt:lpstr>機能概要!Print_Titles</vt:lpstr>
      <vt:lpstr>機能間引数定義!Print_Titles</vt:lpstr>
      <vt:lpstr>項目定義!Print_Titles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尾崎　楓</dc:creator>
  <cp:keywords/>
  <dc:description/>
  <cp:lastModifiedBy>牟禮　朋恵</cp:lastModifiedBy>
  <cp:revision/>
  <dcterms:created xsi:type="dcterms:W3CDTF">2025-11-20T01:03:05Z</dcterms:created>
  <dcterms:modified xsi:type="dcterms:W3CDTF">2026-09-24T07:32:09Z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0x010100A578CBB08933A54CBE90FD3400C60FB0</vt:lpwstr>
  </property>
  <property fmtid="{D5CDD505-2E9C-101B-9397-08002B2CF9AE}" pid="3" name="MediaServiceImageTags">
    <vt:lpwstr/>
  </property>
</Properties>
</file>